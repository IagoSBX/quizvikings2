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ceitas" sheetId="2" state="visible" r:id="rId4"/>
    <sheet name="Custos" sheetId="3" state="visible" r:id="rId5"/>
    <sheet name="DRE" sheetId="4" state="visible" r:id="rId6"/>
    <sheet name="Pagamentos" sheetId="5" state="visible" r:id="rId7"/>
    <sheet name="Patrocinado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<sst xmlns="http://schemas.openxmlformats.org/spreadsheetml/2006/main" count="266" uniqueCount="174">
  <si>
    <t xml:space="preserve">⚡  QUIZ VIKINGS  —  SIMULAÇÃO FINANCEIRA 2025</t>
  </si>
  <si>
    <t xml:space="preserve">Patrocinadores: WIZARD  •  FIEBTECH | App: R$20 acesso vitalício</t>
  </si>
  <si>
    <t xml:space="preserve">RECEITA BRUTA ANUAL</t>
  </si>
  <si>
    <t xml:space="preserve">PATROCÍNIOS TOTAIS</t>
  </si>
  <si>
    <t xml:space="preserve">LUCRO LÍQUIDO ANUAL</t>
  </si>
  <si>
    <t xml:space="preserve">RECEITA APP (R$20)</t>
  </si>
  <si>
    <t xml:space="preserve">VENDAS DO APP</t>
  </si>
  <si>
    <t xml:space="preserve">TICKET MÉDIO</t>
  </si>
  <si>
    <t xml:space="preserve">RESUMO MENSAL</t>
  </si>
  <si>
    <t xml:space="preserve">Mês</t>
  </si>
  <si>
    <t xml:space="preserve">Receita Bruta</t>
  </si>
  <si>
    <t xml:space="preserve">Patrocínios</t>
  </si>
  <si>
    <t xml:space="preserve">App (R$20)</t>
  </si>
  <si>
    <t xml:space="preserve">Custos</t>
  </si>
  <si>
    <t xml:space="preserve">Lucro</t>
  </si>
  <si>
    <t xml:space="preserve">Margem %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</si>
  <si>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</si>
  <si>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</si>
  <si>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</si>
  <si>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</si>
  <si>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</si>
  <si>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</si>
  <si>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</si>
  <si>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</si>
  <si>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</si>
  <si>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</si>
  <si>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</si>
  <si>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</si>
  <si>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2025</t>
  </si>
  <si>
    <t xml:space="preserve">PATROCINADORES</t>
  </si>
  <si>
    <t xml:space="preserve">🎓  WIZARD
Escola de Idiomas
Patrocinador Oficial
Quiz Vikings 2025</t>
  </si>
  <si>
    <t xml:space="preserve">🖥️  FIEBTECH
Tecnologia &amp; Inovação
Patrocinador Oficial
Quiz Vikings 2025</t>
  </si>
  <si>
    <t xml:space="preserve">⚡  QUIZ VIKINGS — RECEITAS MENSAIS 2025</t>
  </si>
  <si>
    <t xml:space="preserve">Valores em R$ | Quiz educacional patrocinado por WIZARD &amp; FIEBTECH</t>
  </si>
  <si>
    <t xml:space="preserve">Fonte de Receita</t>
  </si>
  <si>
    <t xml:space="preserve">TOTAL ANUAL</t>
  </si>
  <si>
    <t xml:space="preserve">RECEITA BRUTA TOTAL</t>
  </si>
  <si>
    <t xml:space="preserve">── RECEITAS OPERACIONAIS</t>
  </si>
  <si>
    <t xml:space="preserve">  Assinaturas Premium (R$5,90/mês)</t>
  </si>
  <si>
    <t xml:space="preserve">  Anúncios In-App</t>
  </si>
  <si>
    <t xml:space="preserve">  Venda de Materiais PDF</t>
  </si>
  <si>
    <t xml:space="preserve">  Torneios Pagos (entrada R$2)</t>
  </si>
  <si>
    <t xml:space="preserve">  Subtotal Operacional</t>
  </si>
  <si>
    <t xml:space="preserve">── OUTRAS RECEITAS</t>
  </si>
  <si>
    <t xml:space="preserve">  Licenciamento de Conteúdo</t>
  </si>
  <si>
    <t xml:space="preserve">  Parcerias Educacionais</t>
  </si>
  <si>
    <t xml:space="preserve">  Subtotal Outras</t>
  </si>
  <si>
    <t xml:space="preserve">── PATROCÍNIOS</t>
  </si>
  <si>
    <t xml:space="preserve">  Wizard — Patrocínio Mensal</t>
  </si>
  <si>
    <t xml:space="preserve">  Wizard — Bônus por Desempenho</t>
  </si>
  <si>
    <t xml:space="preserve">  FIEBTECH — Patrocínio Mensal</t>
  </si>
  <si>
    <t xml:space="preserve">  FIEBTECH — Ativações Digitais</t>
  </si>
  <si>
    <t xml:space="preserve">  Subtotal Patrocínios</t>
  </si>
  <si>
    <t xml:space="preserve">⚡  QUIZ VIKINGS — CUSTOS E DESPESAS 2025</t>
  </si>
  <si>
    <t xml:space="preserve">Valores em R$ | Custos operacionais de plataforma digital educacional</t>
  </si>
  <si>
    <t xml:space="preserve">Item de Custo</t>
  </si>
  <si>
    <t xml:space="preserve">TOTAL DE CUSTOS</t>
  </si>
  <si>
    <t xml:space="preserve">── INFRAESTRUTURA</t>
  </si>
  <si>
    <t xml:space="preserve">  Hospedagem / Cloud</t>
  </si>
  <si>
    <t xml:space="preserve">  Domínio e SSL</t>
  </si>
  <si>
    <t xml:space="preserve">  CDN e Armazenamento</t>
  </si>
  <si>
    <t xml:space="preserve">  Subtotal Infra</t>
  </si>
  <si>
    <t xml:space="preserve">── DESENVOLVIMENTO</t>
  </si>
  <si>
    <t xml:space="preserve">  Desenvolvedor Freelancer</t>
  </si>
  <si>
    <t xml:space="preserve">  Designer UI/UX</t>
  </si>
  <si>
    <t xml:space="preserve">  Ferramentas Dev</t>
  </si>
  <si>
    <t xml:space="preserve">  Subtotal Dev</t>
  </si>
  <si>
    <t xml:space="preserve">── MARKETING</t>
  </si>
  <si>
    <t xml:space="preserve">  Anúncios Google/Meta</t>
  </si>
  <si>
    <t xml:space="preserve">  Marketing de Conteúdo</t>
  </si>
  <si>
    <t xml:space="preserve">  Influenciadores Educacionais</t>
  </si>
  <si>
    <t xml:space="preserve">  Subtotal Marketing</t>
  </si>
  <si>
    <t xml:space="preserve">── OPERACIONAL</t>
  </si>
  <si>
    <t xml:space="preserve">  Atendimento ao Cliente</t>
  </si>
  <si>
    <t xml:space="preserve">  Ferramentas SaaS</t>
  </si>
  <si>
    <t xml:space="preserve">  Taxas de Pagamento (3%)</t>
  </si>
  <si>
    <t xml:space="preserve">  Contador / Jurídico</t>
  </si>
  <si>
    <t xml:space="preserve">⚡  QUIZ VIKINGS — DRE 2025 | Inclui Receita App R$20</t>
  </si>
  <si>
    <t xml:space="preserve">Demonstrativo de Resultado | WIZARD &amp; FIEBTECH Patrocinadores</t>
  </si>
  <si>
    <t xml:space="preserve">Indicador</t>
  </si>
  <si>
    <t xml:space="preserve">(+) Receita Operacional</t>
  </si>
  <si>
    <t xml:space="preserve">(+) Receita App (R$20)</t>
  </si>
  <si>
    <t xml:space="preserve">(+) Receita Total</t>
  </si>
  <si>
    <t xml:space="preserve">(-) Impostos s/ Receita (8%)</t>
  </si>
  <si>
    <t xml:space="preserve">(=) Receita Liquida</t>
  </si>
  <si>
    <t xml:space="preserve">(-) Custos Operacionais</t>
  </si>
  <si>
    <t xml:space="preserve">(=) EBITDA</t>
  </si>
  <si>
    <t xml:space="preserve">(-) Depreciacao estimada</t>
  </si>
  <si>
    <t xml:space="preserve">(=) LUCRO LIQUIDO</t>
  </si>
  <si>
    <t xml:space="preserve">─────────────────────────</t>
  </si>
  <si>
    <t xml:space="preserve">Margem Bruta (%)</t>
  </si>
  <si>
    <t xml:space="preserve">Margem EBITDA (%)</t>
  </si>
  <si>
    <t xml:space="preserve">Margem Liquida (%)</t>
  </si>
  <si>
    <t xml:space="preserve">Receita de Patrocinios</t>
  </si>
  <si>
    <t xml:space="preserve">Receita do App (R$20)</t>
  </si>
  <si>
    <t xml:space="preserve">% Patrocinios / Receita</t>
  </si>
  <si>
    <t xml:space="preserve">% App / Receita</t>
  </si>
  <si>
    <t xml:space="preserve">⚡  QUIZ VIKINGS — RECEITA DO APP (R$20 / ACESSO VITALICIO)</t>
  </si>
  <si>
    <t xml:space="preserve">Projecao de vendas: R$20 por usuario | PIX / Cartao Credito / Cartao Debito</t>
  </si>
  <si>
    <t xml:space="preserve">💳  PRODUTO: Quiz Vikings App  •  PRECO: R$20,00  •  MODELO: Pagamento unico vitalicio  •  FORMAS: PIX / Cartao Credito / Debito</t>
  </si>
  <si>
    <t xml:space="preserve">Metrica</t>
  </si>
  <si>
    <t xml:space="preserve">RECEITA BRUTA APP</t>
  </si>
  <si>
    <t xml:space="preserve">── VENDAS POR CANAL</t>
  </si>
  <si>
    <t xml:space="preserve">  Vendas via PIX</t>
  </si>
  <si>
    <t xml:space="preserve">  Vendas via Cartao Credito</t>
  </si>
  <si>
    <t xml:space="preserve">  Vendas via Cartao Debito</t>
  </si>
  <si>
    <t xml:space="preserve">  Subtotal Unidades</t>
  </si>
  <si>
    <t xml:space="preserve">── RECEITA POR CANAL (R$)</t>
  </si>
  <si>
    <t xml:space="preserve">  Receita PIX</t>
  </si>
  <si>
    <t xml:space="preserve">  Receita Cartao Credito</t>
  </si>
  <si>
    <t xml:space="preserve">  Receita Cartao Debito</t>
  </si>
  <si>
    <t xml:space="preserve">  Subtotal Receita Bruta</t>
  </si>
  <si>
    <t xml:space="preserve">── CUSTOS DE TRANSACAO</t>
  </si>
  <si>
    <t xml:space="preserve">  Taxa PIX (0%)</t>
  </si>
  <si>
    <t xml:space="preserve">  Taxa Cartao Credito (-3,5%)</t>
  </si>
  <si>
    <t xml:space="preserve">  Taxa Cartao Debito (-1,5%)</t>
  </si>
  <si>
    <t xml:space="preserve">  Subtotal Taxas</t>
  </si>
  <si>
    <t xml:space="preserve">RECEITA LIQUIDA APP</t>
  </si>
  <si>
    <t xml:space="preserve">RESUMO PARA DASHBOARD</t>
  </si>
  <si>
    <t xml:space="preserve">Receita Mensal App (R$)</t>
  </si>
  <si>
    <t xml:space="preserve">Unidades Vendidas (mensal)</t>
  </si>
  <si>
    <t xml:space="preserve">⚡  QUIZ VIKINGS — CONTRATOS DE PATROCINIO 2025</t>
  </si>
  <si>
    <t xml:space="preserve">WIZARD Escola de Idiomas  &amp;  FIEBTECH Tecnologia e Inovacao</t>
  </si>
  <si>
    <t xml:space="preserve">🎓  WIZARD — Escola de Idiomas</t>
  </si>
  <si>
    <t xml:space="preserve">Tipo de Patrocinio</t>
  </si>
  <si>
    <t xml:space="preserve">Naming Rights + Visibilidade Digital Completa</t>
  </si>
  <si>
    <t xml:space="preserve">Valor Mensal Fixo</t>
  </si>
  <si>
    <t xml:space="preserve">R$ 850,00 / mes</t>
  </si>
  <si>
    <t xml:space="preserve">Bonus por Metas</t>
  </si>
  <si>
    <t xml:space="preserve">R$ 200,00 / mes (engajamento atingido)</t>
  </si>
  <si>
    <t xml:space="preserve">Duracao</t>
  </si>
  <si>
    <t xml:space="preserve">12 meses — Janeiro a Dezembro / 2025</t>
  </si>
  <si>
    <t xml:space="preserve">Entregaveis</t>
  </si>
  <si>
    <t xml:space="preserve">Logo em todas as telas • 1 quiz idiomas/mes • Relatorio mensal</t>
  </si>
  <si>
    <t xml:space="preserve">Investimento Total 2025</t>
  </si>
  <si>
    <t xml:space="preserve">R$ 12.600,00 + bonus variavel</t>
  </si>
  <si>
    <t xml:space="preserve">PROJECAO MENSAL — 🎓  WIZARD</t>
  </si>
  <si>
    <t xml:space="preserve">Mes</t>
  </si>
  <si>
    <t xml:space="preserve">Fixo (R$)</t>
  </si>
  <si>
    <t xml:space="preserve">Variavel (R$)</t>
  </si>
  <si>
    <t xml:space="preserve">Total (R$)</t>
  </si>
  <si>
    <t xml:space="preserve">Usuarios</t>
  </si>
  <si>
    <t xml:space="preserve">Impressoes</t>
  </si>
  <si>
    <t xml:space="preserve">ROI Est.</t>
  </si>
  <si>
    <t xml:space="preserve">8.5x</t>
  </si>
  <si>
    <t xml:space="preserve">8.8x</t>
  </si>
  <si>
    <t xml:space="preserve">9.1x</t>
  </si>
  <si>
    <t xml:space="preserve">9.4x</t>
  </si>
  <si>
    <t xml:space="preserve">9.7x</t>
  </si>
  <si>
    <t xml:space="preserve">10.0x</t>
  </si>
  <si>
    <t xml:space="preserve">10.3x</t>
  </si>
  <si>
    <t xml:space="preserve">10.6x</t>
  </si>
  <si>
    <t xml:space="preserve">10.9x</t>
  </si>
  <si>
    <t xml:space="preserve">11.2x</t>
  </si>
  <si>
    <t xml:space="preserve">11.5x</t>
  </si>
  <si>
    <t xml:space="preserve">11.8x</t>
  </si>
  <si>
    <t xml:space="preserve">🖥️  FIEBTECH — Tecnologia &amp; Inovacao</t>
  </si>
  <si>
    <t xml:space="preserve">Tech Partner Premium + Branding Interativo</t>
  </si>
  <si>
    <t xml:space="preserve">R$ 750,00 / mes</t>
  </si>
  <si>
    <t xml:space="preserve">Ativacoes Digitais</t>
  </si>
  <si>
    <t xml:space="preserve">R$ 300,00 / mes (campanhas interativas)</t>
  </si>
  <si>
    <t xml:space="preserve">Splash screen • Banner lateral • Desafio tech mensal • Dashboard</t>
  </si>
  <si>
    <t xml:space="preserve">R$ 12.600,00 + ativacoes variaveis</t>
  </si>
  <si>
    <t xml:space="preserve">PROJECAO MENSAL — 🖥️  FIEBTECH</t>
  </si>
  <si>
    <t xml:space="preserve">9.2x</t>
  </si>
  <si>
    <t xml:space="preserve">9.6x</t>
  </si>
  <si>
    <t xml:space="preserve">10.4x</t>
  </si>
  <si>
    <t xml:space="preserve">10.8x</t>
  </si>
  <si>
    <t xml:space="preserve">11.6x</t>
  </si>
  <si>
    <t xml:space="preserve">12.0x</t>
  </si>
  <si>
    <t xml:space="preserve">12.4x</t>
  </si>
  <si>
    <t xml:space="preserve">12.8x</t>
  </si>
  <si>
    <t xml:space="preserve">13.2x</t>
  </si>
  <si>
    <t xml:space="preserve">13.6x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</si>
</sst>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"/>
    <numFmt numFmtId="166" formatCode="#,##0"/>
    <numFmt numFmtId="167" formatCode="&quot;R$ &quot;#,##0.00"/>
    <numFmt numFmtId="168" formatCode="0.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DDE3F5"/>
      <name val="Calibri"/>
      <family val="0"/>
      <charset val="1"/>
    </font>
    <font>
      <i val="true"/>
      <sz val="9"/>
      <color rgb="FFF0C040"/>
      <name val="Calibri"/>
      <family val="0"/>
      <charset val="1"/>
    </font>
    <font>
      <b val="true"/>
      <sz val="8"/>
      <color rgb="FFDDE3F5"/>
      <name val="Calibri"/>
      <family val="0"/>
      <charset val="1"/>
    </font>
    <font>
      <b val="true"/>
      <sz val="20"/>
      <color rgb="FF25D07A"/>
      <name val="Calibri"/>
      <family val="0"/>
      <charset val="1"/>
    </font>
    <font>
      <b val="true"/>
      <sz val="20"/>
      <color rgb="FF38C8E8"/>
      <name val="Calibri"/>
      <family val="0"/>
      <charset val="1"/>
    </font>
    <font>
      <b val="true"/>
      <sz val="20"/>
      <color rgb="FFF0C040"/>
      <name val="Calibri"/>
      <family val="0"/>
      <charset val="1"/>
    </font>
    <font>
      <b val="true"/>
      <sz val="10"/>
      <color rgb="FFDDE3F5"/>
      <name val="Calibri"/>
      <family val="0"/>
      <charset val="1"/>
    </font>
    <font>
      <b val="true"/>
      <sz val="9"/>
      <color rgb="FFDDE3F5"/>
      <name val="Calibri"/>
      <family val="0"/>
      <charset val="1"/>
    </font>
    <font>
      <b val="true"/>
      <sz val="9"/>
      <color rgb="FFF0C040"/>
      <name val="Calibri"/>
      <family val="0"/>
      <charset val="1"/>
    </font>
    <font>
      <sz val="9"/>
      <color rgb="FFDDE3F5"/>
      <name val="Calibri"/>
      <family val="0"/>
      <charset val="1"/>
    </font>
    <font>
      <sz val="9"/>
      <color rgb="FF38C8E8"/>
      <name val="Calibri"/>
      <family val="0"/>
      <charset val="1"/>
    </font>
    <font>
      <sz val="9"/>
      <color rgb="FFF0C040"/>
      <name val="Calibri"/>
      <family val="0"/>
      <charset val="1"/>
    </font>
    <font>
      <sz val="9"/>
      <color rgb="FF25D07A"/>
      <name val="Calibri"/>
      <family val="0"/>
      <charset val="1"/>
    </font>
    <font>
      <b val="true"/>
      <sz val="8"/>
      <color rgb="FF6878A8"/>
      <name val="Calibri"/>
      <family val="0"/>
      <charset val="1"/>
    </font>
    <font>
      <b val="true"/>
      <sz val="11"/>
      <color rgb="FFE74C3C"/>
      <name val="Calibri"/>
      <family val="0"/>
      <charset val="1"/>
    </font>
    <font>
      <b val="true"/>
      <sz val="11"/>
      <color rgb="FF5DADE2"/>
      <name val="Calibri"/>
      <family val="0"/>
      <charset val="1"/>
    </font>
    <font>
      <b val="true"/>
      <sz val="10"/>
      <color rgb="FFF0C040"/>
      <name val="Calibri"/>
      <family val="0"/>
      <charset val="1"/>
    </font>
    <font>
      <b val="true"/>
      <sz val="8"/>
      <color rgb="FFF0C040"/>
      <name val="Calibri"/>
      <family val="0"/>
      <charset val="1"/>
    </font>
    <font>
      <b val="true"/>
      <sz val="9"/>
      <color rgb="FF3D7FFF"/>
      <name val="Calibri"/>
      <family val="0"/>
      <charset val="1"/>
    </font>
    <font>
      <b val="true"/>
      <sz val="10"/>
      <color rgb="FFF04060"/>
      <name val="Calibri"/>
      <family val="0"/>
      <charset val="1"/>
    </font>
    <font>
      <b val="true"/>
      <sz val="9"/>
      <color rgb="FFF04060"/>
      <name val="Calibri"/>
      <family val="0"/>
      <charset val="1"/>
    </font>
    <font>
      <b val="true"/>
      <sz val="9"/>
      <color rgb="FF25D07A"/>
      <name val="Calibri"/>
      <family val="0"/>
      <charset val="1"/>
    </font>
    <font>
      <b val="true"/>
      <sz val="11"/>
      <color rgb="FFF0C040"/>
      <name val="Calibri"/>
      <family val="0"/>
      <charset val="1"/>
    </font>
    <font>
      <sz val="9"/>
      <color rgb="FF303858"/>
      <name val="Calibri"/>
      <family val="0"/>
      <charset val="1"/>
    </font>
    <font>
      <sz val="9"/>
      <color rgb="FF6878A8"/>
      <name val="Calibri"/>
      <family val="0"/>
      <charset val="1"/>
    </font>
    <font>
      <b val="true"/>
      <sz val="10"/>
      <color rgb="FF25D07A"/>
      <name val="Calibri"/>
      <family val="0"/>
      <charset val="1"/>
    </font>
    <font>
      <b val="true"/>
      <sz val="13"/>
      <color rgb="FFE74C3C"/>
      <name val="Calibri"/>
      <family val="0"/>
      <charset val="1"/>
    </font>
    <font>
      <b val="true"/>
      <sz val="9"/>
      <color rgb="FF6878A8"/>
      <name val="Calibri"/>
      <family val="0"/>
      <charset val="1"/>
    </font>
    <font>
      <b val="true"/>
      <sz val="9"/>
      <color rgb="FFE74C3C"/>
      <name val="Calibri"/>
      <family val="0"/>
      <charset val="1"/>
    </font>
    <font>
      <b val="true"/>
      <sz val="10"/>
      <color rgb="FFE74C3C"/>
      <name val="Calibri"/>
      <family val="0"/>
      <charset val="1"/>
    </font>
    <font>
      <sz val="9"/>
      <color rgb="FF3D7FFF"/>
      <name val="Calibri"/>
      <family val="0"/>
      <charset val="1"/>
    </font>
    <font>
      <b val="true"/>
      <sz val="13"/>
      <color rgb="FF5DADE2"/>
      <name val="Calibri"/>
      <family val="0"/>
      <charset val="1"/>
    </font>
    <font>
      <b val="true"/>
      <sz val="9"/>
      <color rgb="FF5DADE2"/>
      <name val="Calibri"/>
      <family val="0"/>
      <charset val="1"/>
    </font>
    <font>
      <b val="true"/>
      <sz val="10"/>
      <color rgb="FF5DADE2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744"/>
        <bgColor rgb="FF1E2D4A"/>
      </patternFill>
    </fill>
    <fill>
      <patternFill patternType="solid">
        <fgColor rgb="FF080C18"/>
        <bgColor rgb="FF070B18"/>
      </patternFill>
    </fill>
    <fill>
      <patternFill patternType="solid">
        <fgColor rgb="FF111928"/>
        <bgColor rgb="FF161F35"/>
      </patternFill>
    </fill>
    <fill>
      <patternFill patternType="solid">
        <fgColor rgb="FF161F35"/>
        <bgColor rgb="FF1A2030"/>
      </patternFill>
    </fill>
    <fill>
      <patternFill patternType="solid">
        <fgColor rgb="FF180A08"/>
        <bgColor rgb="FF080C18"/>
      </patternFill>
    </fill>
    <fill>
      <patternFill patternType="solid">
        <fgColor rgb="FF060A18"/>
        <bgColor rgb="FF070B18"/>
      </patternFill>
    </fill>
    <fill>
      <patternFill patternType="solid">
        <fgColor rgb="FF1A2030"/>
        <bgColor rgb="FF161F35"/>
      </patternFill>
    </fill>
    <fill>
      <patternFill patternType="solid">
        <fgColor rgb="FF070B18"/>
        <bgColor rgb="FF060A1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1E2D4A"/>
      </left>
      <right/>
      <top style="thin">
        <color rgb="FF1E2D4A"/>
      </top>
      <bottom style="thin">
        <color rgb="FF1E2D4A"/>
      </bottom>
      <diagonal/>
    </border>
    <border diagonalUp="false" diagonalDown="false">
      <left style="thin">
        <color rgb="FF1E2D4A"/>
      </left>
      <right style="thin">
        <color rgb="FF1E2D4A"/>
      </right>
      <top style="thin">
        <color rgb="FF1E2D4A"/>
      </top>
      <bottom style="thin">
        <color rgb="FF1E2D4A"/>
      </bottom>
      <diagonal/>
    </border>
    <border diagonalUp="false" diagonalDown="false">
      <left style="medium">
        <color rgb="FFD63031"/>
      </left>
      <right/>
      <top style="medium">
        <color rgb="FFD63031"/>
      </top>
      <bottom/>
      <diagonal/>
    </border>
    <border diagonalUp="false" diagonalDown="false">
      <left style="medium">
        <color rgb="FF0984E3"/>
      </left>
      <right/>
      <top style="medium">
        <color rgb="FF0984E3"/>
      </top>
      <bottom/>
      <diagonal/>
    </border>
    <border diagonalUp="false" diagonalDown="false">
      <left style="medium">
        <color rgb="FFE74C3C"/>
      </left>
      <right/>
      <top style="medium">
        <color rgb="FFE74C3C"/>
      </top>
      <bottom style="medium">
        <color rgb="FFE74C3C"/>
      </bottom>
      <diagonal/>
    </border>
    <border diagonalUp="false" diagonalDown="false">
      <left style="medium">
        <color rgb="FF5DADE2"/>
      </left>
      <right/>
      <top style="medium">
        <color rgb="FF5DADE2"/>
      </top>
      <bottom style="medium">
        <color rgb="FF5DAD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80A08"/>
      <rgbColor rgb="FF008000"/>
      <rgbColor rgb="FF060A18"/>
      <rgbColor rgb="FF808000"/>
      <rgbColor rgb="FF800080"/>
      <rgbColor rgb="FF008080"/>
      <rgbColor rgb="FFC0C0C0"/>
      <rgbColor rgb="FF808080"/>
      <rgbColor rgb="FF5DADE2"/>
      <rgbColor rgb="FFF04060"/>
      <rgbColor rgb="FFFFFFCC"/>
      <rgbColor rgb="FFCCFFFF"/>
      <rgbColor rgb="FF161F35"/>
      <rgbColor rgb="FFFF8080"/>
      <rgbColor rgb="FF0984E3"/>
      <rgbColor rgb="FFDDE3F5"/>
      <rgbColor rgb="FF070B18"/>
      <rgbColor rgb="FFFF00FF"/>
      <rgbColor rgb="FFFFFF00"/>
      <rgbColor rgb="FF00FFFF"/>
      <rgbColor rgb="FF800080"/>
      <rgbColor rgb="FF080C18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7FFF"/>
      <rgbColor rgb="FF38C8E8"/>
      <rgbColor rgb="FF99CC00"/>
      <rgbColor rgb="FFF0C040"/>
      <rgbColor rgb="FFFF9900"/>
      <rgbColor rgb="FFE74C3C"/>
      <rgbColor rgb="FF6878A8"/>
      <rgbColor rgb="FF969696"/>
      <rgbColor rgb="FF1E2D4A"/>
      <rgbColor rgb="FF25D07A"/>
      <rgbColor rgb="FF111928"/>
      <rgbColor rgb="FF1A2030"/>
      <rgbColor rgb="FFD63031"/>
      <rgbColor rgb="FF6C47FF"/>
      <rgbColor rgb="FF1A2744"/>
      <rgbColor rgb="FF303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7FFF"/>
    <pageSetUpPr fitToPage="false"/>
  </sheetPr>
  <dimension ref="B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8" min="3" style="0" width="13"/>
    <col collapsed="false" customWidth="true" hidden="false" outlineLevel="0" max="9" min="9" style="0" width="1.51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</row>
    <row r="6" customFormat="false" ht="36" hidden="false" customHeight="true" outlineLevel="0" collapsed="false">
      <c r="B6" s="4" t="n">
        <f aca="false">Receitas!P5</f>
        <v>48270</v>
      </c>
      <c r="C6" s="4"/>
      <c r="D6" s="5" t="n">
        <f aca="false">Receitas!P21</f>
        <v>31277</v>
      </c>
      <c r="E6" s="5"/>
      <c r="F6" s="6" t="n">
        <f aca="false">DRE!P13</f>
        <v>39617</v>
      </c>
      <c r="G6" s="6"/>
    </row>
    <row r="7" customFormat="false" ht="15.75" hidden="false" customHeight="true" outlineLevel="0" collapsed="false">
      <c r="B7" s="3" t="s">
        <v>5</v>
      </c>
      <c r="C7" s="3"/>
      <c r="D7" s="3" t="s">
        <v>6</v>
      </c>
      <c r="E7" s="3"/>
      <c r="F7" s="3" t="s">
        <v>7</v>
      </c>
      <c r="G7" s="3"/>
    </row>
    <row r="8" customFormat="false" ht="36" hidden="false" customHeight="true" outlineLevel="0" collapsed="false">
      <c r="B8" s="6" t="n">
        <f aca="false">Pagamentos!P25</f>
        <v>36740</v>
      </c>
      <c r="C8" s="6"/>
      <c r="D8" s="7" t="n">
        <f aca="false">Pagamentos!P26</f>
        <v>1837</v>
      </c>
      <c r="E8" s="7"/>
      <c r="F8" s="8" t="n">
        <f aca="false">IFERROR(Pagamentos!P25/Pagamentos!P26,0)</f>
        <v>20</v>
      </c>
      <c r="G8" s="8"/>
    </row>
    <row r="10" customFormat="false" ht="19.5" hidden="false" customHeight="true" outlineLevel="0" collapsed="false">
      <c r="B10" s="9" t="s">
        <v>8</v>
      </c>
      <c r="C10" s="9"/>
      <c r="D10" s="9"/>
      <c r="E10" s="9"/>
      <c r="F10" s="9"/>
      <c r="G10" s="9"/>
      <c r="H10" s="9"/>
    </row>
    <row r="11" customFormat="false" ht="18" hidden="false" customHeight="true" outlineLevel="0" collapsed="false"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</row>
    <row r="12" customFormat="false" ht="18" hidden="false" customHeight="true" outlineLevel="0" collapsed="false">
      <c r="B12" s="11" t="s">
        <v>16</v>
      </c>
      <c r="C12" s="12" t="n">
        <f aca="false">Receitas!C5</f>
        <v>3035</v>
      </c>
      <c r="D12" s="13" t="n">
        <f aca="false">Receitas!C21</f>
        <v>2100</v>
      </c>
      <c r="E12" s="14" t="n">
        <f aca="false">Pagamentos!C25</f>
        <v>1640</v>
      </c>
      <c r="F12" s="12" t="n">
        <f aca="false">Custos!C5</f>
        <v>2736</v>
      </c>
      <c r="G12" s="15" t="n">
        <f aca="false">C12+E12-F12</f>
        <v>1939</v>
      </c>
      <c r="H12" s="16" t="n">
        <f aca="false">IFERROR(G12/C12,0)</f>
        <v>0.638879736408567</v>
      </c>
    </row>
    <row r="13" customFormat="false" ht="18" hidden="false" customHeight="true" outlineLevel="0" collapsed="false">
      <c r="B13" s="17" t="s">
        <v>17</v>
      </c>
      <c r="C13" s="18" t="n">
        <f aca="false">Receitas!D5</f>
        <v>3180</v>
      </c>
      <c r="D13" s="19" t="n">
        <f aca="false">Receitas!D21</f>
        <v>2180</v>
      </c>
      <c r="E13" s="20" t="n">
        <f aca="false">Pagamentos!D25</f>
        <v>1820</v>
      </c>
      <c r="F13" s="18" t="n">
        <f aca="false">Custos!D5</f>
        <v>2785</v>
      </c>
      <c r="G13" s="21" t="n">
        <f aca="false">C13+E13-F13</f>
        <v>2215</v>
      </c>
      <c r="H13" s="22" t="n">
        <f aca="false">IFERROR(G13/C13,0)</f>
        <v>0.696540880503145</v>
      </c>
    </row>
    <row r="14" customFormat="false" ht="18" hidden="false" customHeight="true" outlineLevel="0" collapsed="false">
      <c r="B14" s="11" t="s">
        <v>18</v>
      </c>
      <c r="C14" s="12" t="n">
        <f aca="false">Receitas!E5</f>
        <v>3331</v>
      </c>
      <c r="D14" s="13" t="n">
        <f aca="false">Receitas!E21</f>
        <v>2262</v>
      </c>
      <c r="E14" s="14" t="n">
        <f aca="false">Pagamentos!E25</f>
        <v>2020</v>
      </c>
      <c r="F14" s="12" t="n">
        <f aca="false">Custos!E5</f>
        <v>2835</v>
      </c>
      <c r="G14" s="15" t="n">
        <f aca="false">C14+E14-F14</f>
        <v>2516</v>
      </c>
      <c r="H14" s="16" t="n">
        <f aca="false">IFERROR(G14/C14,0)</f>
        <v>0.755328730111078</v>
      </c>
    </row>
    <row r="15" customFormat="false" ht="18" hidden="false" customHeight="true" outlineLevel="0" collapsed="false">
      <c r="B15" s="17" t="s">
        <v>19</v>
      </c>
      <c r="C15" s="18" t="n">
        <f aca="false">Receitas!F5</f>
        <v>3492</v>
      </c>
      <c r="D15" s="19" t="n">
        <f aca="false">Receitas!F21</f>
        <v>2348</v>
      </c>
      <c r="E15" s="20" t="n">
        <f aca="false">Pagamentos!F25</f>
        <v>2220</v>
      </c>
      <c r="F15" s="18" t="n">
        <f aca="false">Custos!F5</f>
        <v>2887</v>
      </c>
      <c r="G15" s="21" t="n">
        <f aca="false">C15+E15-F15</f>
        <v>2825</v>
      </c>
      <c r="H15" s="22" t="n">
        <f aca="false">IFERROR(G15/C15,0)</f>
        <v>0.808991981672394</v>
      </c>
    </row>
    <row r="16" customFormat="false" ht="18" hidden="false" customHeight="true" outlineLevel="0" collapsed="false">
      <c r="B16" s="11" t="s">
        <v>20</v>
      </c>
      <c r="C16" s="12" t="n">
        <f aca="false">Receitas!G5</f>
        <v>3667</v>
      </c>
      <c r="D16" s="13" t="n">
        <f aca="false">Receitas!G21</f>
        <v>2439</v>
      </c>
      <c r="E16" s="14" t="n">
        <f aca="false">Pagamentos!G25</f>
        <v>2460</v>
      </c>
      <c r="F16" s="12" t="n">
        <f aca="false">Custos!G5</f>
        <v>2940</v>
      </c>
      <c r="G16" s="15" t="n">
        <f aca="false">C16+E16-F16</f>
        <v>3187</v>
      </c>
      <c r="H16" s="16" t="n">
        <f aca="false">IFERROR(G16/C16,0)</f>
        <v>0.869102808835561</v>
      </c>
    </row>
    <row r="17" customFormat="false" ht="18" hidden="false" customHeight="true" outlineLevel="0" collapsed="false">
      <c r="B17" s="17" t="s">
        <v>21</v>
      </c>
      <c r="C17" s="18" t="n">
        <f aca="false">Receitas!H5</f>
        <v>3852</v>
      </c>
      <c r="D17" s="19" t="n">
        <f aca="false">Receitas!H21</f>
        <v>2533</v>
      </c>
      <c r="E17" s="20" t="n">
        <f aca="false">Pagamentos!H25</f>
        <v>2720</v>
      </c>
      <c r="F17" s="18" t="n">
        <f aca="false">Custos!H5</f>
        <v>2995</v>
      </c>
      <c r="G17" s="21" t="n">
        <f aca="false">C17+E17-F17</f>
        <v>3577</v>
      </c>
      <c r="H17" s="22" t="n">
        <f aca="false">IFERROR(G17/C17,0)</f>
        <v>0.928608515057113</v>
      </c>
    </row>
    <row r="18" customFormat="false" ht="18" hidden="false" customHeight="true" outlineLevel="0" collapsed="false">
      <c r="B18" s="11" t="s">
        <v>22</v>
      </c>
      <c r="C18" s="12" t="n">
        <f aca="false">Receitas!I5</f>
        <v>4049</v>
      </c>
      <c r="D18" s="13" t="n">
        <f aca="false">Receitas!I21</f>
        <v>2631</v>
      </c>
      <c r="E18" s="14" t="n">
        <f aca="false">Pagamentos!I25</f>
        <v>3020</v>
      </c>
      <c r="F18" s="12" t="n">
        <f aca="false">Custos!I5</f>
        <v>3051</v>
      </c>
      <c r="G18" s="15" t="n">
        <f aca="false">C18+E18-F18</f>
        <v>4018</v>
      </c>
      <c r="H18" s="16" t="n">
        <f aca="false">IFERROR(G18/C18,0)</f>
        <v>0.992343788589775</v>
      </c>
    </row>
    <row r="19" customFormat="false" ht="18" hidden="false" customHeight="true" outlineLevel="0" collapsed="false">
      <c r="B19" s="17" t="s">
        <v>23</v>
      </c>
      <c r="C19" s="18" t="n">
        <f aca="false">Receitas!J5</f>
        <v>4257</v>
      </c>
      <c r="D19" s="19" t="n">
        <f aca="false">Receitas!J21</f>
        <v>2733</v>
      </c>
      <c r="E19" s="20" t="n">
        <f aca="false">Pagamentos!J25</f>
        <v>3340</v>
      </c>
      <c r="F19" s="18" t="n">
        <f aca="false">Custos!J5</f>
        <v>3110</v>
      </c>
      <c r="G19" s="21" t="n">
        <f aca="false">C19+E19-F19</f>
        <v>4487</v>
      </c>
      <c r="H19" s="22" t="n">
        <f aca="false">IFERROR(G19/C19,0)</f>
        <v>1.05402865867982</v>
      </c>
    </row>
    <row r="20" customFormat="false" ht="18" hidden="false" customHeight="true" outlineLevel="0" collapsed="false">
      <c r="B20" s="11" t="s">
        <v>24</v>
      </c>
      <c r="C20" s="12" t="n">
        <f aca="false">Receitas!K5</f>
        <v>4479</v>
      </c>
      <c r="D20" s="13" t="n">
        <f aca="false">Receitas!K21</f>
        <v>2840</v>
      </c>
      <c r="E20" s="14" t="n">
        <f aca="false">Pagamentos!K25</f>
        <v>3720</v>
      </c>
      <c r="F20" s="12" t="n">
        <f aca="false">Custos!K5</f>
        <v>3172</v>
      </c>
      <c r="G20" s="15" t="n">
        <f aca="false">C20+E20-F20</f>
        <v>5027</v>
      </c>
      <c r="H20" s="16" t="n">
        <f aca="false">IFERROR(G20/C20,0)</f>
        <v>1.12234873855771</v>
      </c>
    </row>
    <row r="21" customFormat="false" ht="18" hidden="false" customHeight="true" outlineLevel="0" collapsed="false">
      <c r="B21" s="17" t="s">
        <v>25</v>
      </c>
      <c r="C21" s="18" t="n">
        <f aca="false">Receitas!L5</f>
        <v>4716</v>
      </c>
      <c r="D21" s="19" t="n">
        <f aca="false">Receitas!L21</f>
        <v>2952</v>
      </c>
      <c r="E21" s="20" t="n">
        <f aca="false">Pagamentos!L25</f>
        <v>4120</v>
      </c>
      <c r="F21" s="18" t="n">
        <f aca="false">Custos!L5</f>
        <v>3237</v>
      </c>
      <c r="G21" s="21" t="n">
        <f aca="false">C21+E21-F21</f>
        <v>5599</v>
      </c>
      <c r="H21" s="22" t="n">
        <f aca="false">IFERROR(G21/C21,0)</f>
        <v>1.18723494486853</v>
      </c>
    </row>
    <row r="22" customFormat="false" ht="18" hidden="false" customHeight="true" outlineLevel="0" collapsed="false">
      <c r="B22" s="11" t="s">
        <v>26</v>
      </c>
      <c r="C22" s="12" t="n">
        <f aca="false">Receitas!M5</f>
        <v>4971</v>
      </c>
      <c r="D22" s="13" t="n">
        <f aca="false">Receitas!M21</f>
        <v>3069</v>
      </c>
      <c r="E22" s="14" t="n">
        <f aca="false">Pagamentos!M25</f>
        <v>4580</v>
      </c>
      <c r="F22" s="12" t="n">
        <f aca="false">Custos!M5</f>
        <v>3306</v>
      </c>
      <c r="G22" s="15" t="n">
        <f aca="false">C22+E22-F22</f>
        <v>6245</v>
      </c>
      <c r="H22" s="16" t="n">
        <f aca="false">IFERROR(G22/C22,0)</f>
        <v>1.25628646147656</v>
      </c>
    </row>
    <row r="23" customFormat="false" ht="18" hidden="false" customHeight="true" outlineLevel="0" collapsed="false">
      <c r="B23" s="17" t="s">
        <v>27</v>
      </c>
      <c r="C23" s="18" t="n">
        <f aca="false">Receitas!N5</f>
        <v>5241</v>
      </c>
      <c r="D23" s="19" t="n">
        <f aca="false">Receitas!N21</f>
        <v>3190</v>
      </c>
      <c r="E23" s="20" t="n">
        <f aca="false">Pagamentos!N25</f>
        <v>5080</v>
      </c>
      <c r="F23" s="18" t="n">
        <f aca="false">Custos!N5</f>
        <v>3377</v>
      </c>
      <c r="G23" s="21" t="n">
        <f aca="false">C23+E23-F23</f>
        <v>6944</v>
      </c>
      <c r="H23" s="22" t="n">
        <f aca="false">IFERROR(G23/C23,0)</f>
        <v>1.32493798893341</v>
      </c>
    </row>
    <row r="24" customFormat="false" ht="19.5" hidden="false" customHeight="true" outlineLevel="0" collapsed="false">
      <c r="B24" s="23" t="s">
        <v>28</v>
      </c>
      <c r="C24" s="24" t="n">
        <f aca="false">SUM(C12:C23)</f>
        <v>48270</v>
      </c>
      <c r="D24" s="24" t="n">
        <f aca="false">SUM(D12:D23)</f>
        <v>31277</v>
      </c>
      <c r="E24" s="24" t="n">
        <f aca="false">SUM(E12:E23)</f>
        <v>36740</v>
      </c>
      <c r="F24" s="24" t="n">
        <f aca="false">SUM(F12:F23)</f>
        <v>36431</v>
      </c>
      <c r="G24" s="24" t="n">
        <f aca="false">SUM(G12:G23)</f>
        <v>48579</v>
      </c>
      <c r="H24" s="25" t="n">
        <f aca="false">IFERROR(G24/C24,0)</f>
        <v>1.0064014916097</v>
      </c>
    </row>
    <row r="26" customFormat="false" ht="13.5" hidden="false" customHeight="true" outlineLevel="0" collapsed="false">
      <c r="B26" s="26" t="s">
        <v>29</v>
      </c>
    </row>
    <row r="27" customFormat="false" ht="18" hidden="false" customHeight="true" outlineLevel="0" collapsed="false">
      <c r="B27" s="27" t="s">
        <v>30</v>
      </c>
      <c r="C27" s="27"/>
      <c r="D27" s="27"/>
      <c r="E27" s="28" t="s">
        <v>31</v>
      </c>
      <c r="F27" s="28"/>
      <c r="G27" s="28"/>
      <c r="H27" s="29"/>
    </row>
    <row r="28" customFormat="false" ht="18" hidden="false" customHeight="true" outlineLevel="0" collapsed="false">
      <c r="B28" s="27"/>
      <c r="C28" s="27"/>
      <c r="D28" s="27"/>
      <c r="E28" s="28"/>
      <c r="F28" s="28"/>
      <c r="G28" s="28"/>
    </row>
    <row r="29" customFormat="false" ht="18" hidden="false" customHeight="true" outlineLevel="0" collapsed="false">
      <c r="B29" s="27"/>
      <c r="C29" s="27"/>
      <c r="D29" s="27"/>
      <c r="E29" s="28"/>
      <c r="F29" s="28"/>
      <c r="G29" s="28"/>
    </row>
    <row r="30" customFormat="false" ht="18" hidden="false" customHeight="true" outlineLevel="0" collapsed="false">
      <c r="B30" s="27"/>
      <c r="C30" s="27"/>
      <c r="D30" s="27"/>
      <c r="E30" s="28"/>
      <c r="F30" s="28"/>
      <c r="G30" s="28"/>
    </row>
    <row r="31" customFormat="false" ht="18" hidden="false" customHeight="true" outlineLevel="0" collapsed="false">
      <c r="B31" s="27"/>
      <c r="C31" s="27"/>
      <c r="D31" s="27"/>
      <c r="E31" s="28"/>
      <c r="F31" s="28"/>
      <c r="G31" s="28"/>
    </row>
    <row r="32" customFormat="false" ht="18" hidden="false" customHeight="true" outlineLevel="0" collapsed="false">
      <c r="B32" s="27"/>
      <c r="C32" s="27"/>
      <c r="D32" s="27"/>
      <c r="E32" s="28"/>
      <c r="F32" s="28"/>
      <c r="G32" s="28"/>
    </row>
  </sheetData>
  <mergeCells count="17">
    <mergeCell ref="B2:H2"/>
    <mergeCell ref="B3:H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H10"/>
    <mergeCell ref="B27:D32"/>
    <mergeCell ref="E27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D07A"/>
    <pageSetUpPr fitToPage="false"/>
  </sheetPr>
  <dimension ref="B2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14" min="3" style="0" width="11"/>
    <col collapsed="false" customWidth="true" hidden="false" outlineLevel="0" max="15" min="15" style="0" width="1.51"/>
    <col collapsed="false" customWidth="true" hidden="false" outlineLevel="0" max="16" min="16" style="0" width="14"/>
  </cols>
  <sheetData>
    <row r="2" customFormat="false" ht="27.75" hidden="false" customHeight="true" outlineLevel="0" collapsed="false"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.75" hidden="false" customHeight="true" outlineLevel="0" collapsed="false">
      <c r="B3" s="2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B4" s="10" t="s">
        <v>34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s">
        <v>26</v>
      </c>
      <c r="N4" s="10" t="s">
        <v>27</v>
      </c>
      <c r="O4" s="10"/>
      <c r="P4" s="10" t="s">
        <v>35</v>
      </c>
    </row>
    <row r="5" customFormat="false" ht="18" hidden="false" customHeight="true" outlineLevel="0" collapsed="false">
      <c r="B5" s="30" t="s">
        <v>36</v>
      </c>
      <c r="C5" s="31" t="n">
        <f aca="false">C11+C15+C21</f>
        <v>3035</v>
      </c>
      <c r="D5" s="31" t="n">
        <f aca="false">D11+D15+D21</f>
        <v>3180</v>
      </c>
      <c r="E5" s="31" t="n">
        <f aca="false">E11+E15+E21</f>
        <v>3331</v>
      </c>
      <c r="F5" s="31" t="n">
        <f aca="false">F11+F15+F21</f>
        <v>3492</v>
      </c>
      <c r="G5" s="31" t="n">
        <f aca="false">G11+G15+G21</f>
        <v>3667</v>
      </c>
      <c r="H5" s="31" t="n">
        <f aca="false">H11+H15+H21</f>
        <v>3852</v>
      </c>
      <c r="I5" s="31" t="n">
        <f aca="false">I11+I15+I21</f>
        <v>4049</v>
      </c>
      <c r="J5" s="31" t="n">
        <f aca="false">J11+J15+J21</f>
        <v>4257</v>
      </c>
      <c r="K5" s="31" t="n">
        <f aca="false">K11+K15+K21</f>
        <v>4479</v>
      </c>
      <c r="L5" s="31" t="n">
        <f aca="false">L11+L15+L21</f>
        <v>4716</v>
      </c>
      <c r="M5" s="31" t="n">
        <f aca="false">M11+M15+M21</f>
        <v>4971</v>
      </c>
      <c r="N5" s="31" t="n">
        <f aca="false">N11+N15+N21</f>
        <v>5241</v>
      </c>
      <c r="O5" s="29"/>
      <c r="P5" s="31" t="n">
        <f aca="false">SUM(C5:N5)</f>
        <v>48270</v>
      </c>
    </row>
    <row r="6" customFormat="false" ht="18" hidden="false" customHeight="true" outlineLevel="0" collapsed="false">
      <c r="B6" s="32" t="s">
        <v>37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29"/>
      <c r="P6" s="33"/>
    </row>
    <row r="7" customFormat="false" ht="18" hidden="false" customHeight="true" outlineLevel="0" collapsed="false">
      <c r="B7" s="34" t="s">
        <v>38</v>
      </c>
      <c r="C7" s="18" t="n">
        <v>320</v>
      </c>
      <c r="D7" s="18" t="n">
        <f aca="false">ROUND(C7*1.085,0)</f>
        <v>347</v>
      </c>
      <c r="E7" s="18" t="n">
        <f aca="false">ROUND(D7*1.085,0)</f>
        <v>376</v>
      </c>
      <c r="F7" s="18" t="n">
        <f aca="false">ROUND(E7*1.085,0)</f>
        <v>408</v>
      </c>
      <c r="G7" s="18" t="n">
        <f aca="false">ROUND(F7*1.085,0)</f>
        <v>443</v>
      </c>
      <c r="H7" s="18" t="n">
        <f aca="false">ROUND(G7*1.085,0)</f>
        <v>481</v>
      </c>
      <c r="I7" s="18" t="n">
        <f aca="false">ROUND(H7*1.085,0)</f>
        <v>522</v>
      </c>
      <c r="J7" s="18" t="n">
        <f aca="false">ROUND(I7*1.085,0)</f>
        <v>566</v>
      </c>
      <c r="K7" s="18" t="n">
        <f aca="false">ROUND(J7*1.085,0)</f>
        <v>614</v>
      </c>
      <c r="L7" s="18" t="n">
        <f aca="false">ROUND(K7*1.085,0)</f>
        <v>666</v>
      </c>
      <c r="M7" s="18" t="n">
        <f aca="false">ROUND(L7*1.085,0)</f>
        <v>723</v>
      </c>
      <c r="N7" s="18" t="n">
        <f aca="false">ROUND(M7*1.085,0)</f>
        <v>784</v>
      </c>
      <c r="O7" s="29"/>
      <c r="P7" s="18" t="n">
        <f aca="false">SUM(C7:N7)</f>
        <v>6250</v>
      </c>
    </row>
    <row r="8" customFormat="false" ht="18" hidden="false" customHeight="true" outlineLevel="0" collapsed="false">
      <c r="B8" s="35" t="s">
        <v>39</v>
      </c>
      <c r="C8" s="12" t="n">
        <v>180</v>
      </c>
      <c r="D8" s="12" t="n">
        <f aca="false">ROUND(C8*1.065,0)</f>
        <v>192</v>
      </c>
      <c r="E8" s="12" t="n">
        <f aca="false">ROUND(D8*1.065,0)</f>
        <v>204</v>
      </c>
      <c r="F8" s="12" t="n">
        <f aca="false">ROUND(E8*1.065,0)</f>
        <v>217</v>
      </c>
      <c r="G8" s="12" t="n">
        <f aca="false">ROUND(F8*1.065,0)</f>
        <v>231</v>
      </c>
      <c r="H8" s="12" t="n">
        <f aca="false">ROUND(G8*1.065,0)</f>
        <v>246</v>
      </c>
      <c r="I8" s="12" t="n">
        <f aca="false">ROUND(H8*1.065,0)</f>
        <v>262</v>
      </c>
      <c r="J8" s="12" t="n">
        <f aca="false">ROUND(I8*1.065,0)</f>
        <v>279</v>
      </c>
      <c r="K8" s="12" t="n">
        <f aca="false">ROUND(J8*1.065,0)</f>
        <v>297</v>
      </c>
      <c r="L8" s="12" t="n">
        <f aca="false">ROUND(K8*1.065,0)</f>
        <v>316</v>
      </c>
      <c r="M8" s="12" t="n">
        <f aca="false">ROUND(L8*1.065,0)</f>
        <v>337</v>
      </c>
      <c r="N8" s="12" t="n">
        <f aca="false">ROUND(M8*1.065,0)</f>
        <v>359</v>
      </c>
      <c r="O8" s="29"/>
      <c r="P8" s="12" t="n">
        <f aca="false">SUM(C8:N8)</f>
        <v>3120</v>
      </c>
    </row>
    <row r="9" customFormat="false" ht="18" hidden="false" customHeight="true" outlineLevel="0" collapsed="false">
      <c r="B9" s="34" t="s">
        <v>40</v>
      </c>
      <c r="C9" s="18" t="n">
        <v>95</v>
      </c>
      <c r="D9" s="18" t="n">
        <f aca="false">ROUND(C9*1.04,0)</f>
        <v>99</v>
      </c>
      <c r="E9" s="18" t="n">
        <f aca="false">ROUND(D9*1.04,0)</f>
        <v>103</v>
      </c>
      <c r="F9" s="18" t="n">
        <f aca="false">ROUND(E9*1.04,0)</f>
        <v>107</v>
      </c>
      <c r="G9" s="18" t="n">
        <f aca="false">ROUND(F9*1.04,0)</f>
        <v>111</v>
      </c>
      <c r="H9" s="18" t="n">
        <f aca="false">ROUND(G9*1.04,0)</f>
        <v>115</v>
      </c>
      <c r="I9" s="18" t="n">
        <f aca="false">ROUND(H9*1.04,0)</f>
        <v>120</v>
      </c>
      <c r="J9" s="18" t="n">
        <f aca="false">ROUND(I9*1.04,0)</f>
        <v>125</v>
      </c>
      <c r="K9" s="18" t="n">
        <f aca="false">ROUND(J9*1.04,0)</f>
        <v>130</v>
      </c>
      <c r="L9" s="18" t="n">
        <f aca="false">ROUND(K9*1.04,0)</f>
        <v>135</v>
      </c>
      <c r="M9" s="18" t="n">
        <f aca="false">ROUND(L9*1.04,0)</f>
        <v>140</v>
      </c>
      <c r="N9" s="18" t="n">
        <f aca="false">ROUND(M9*1.04,0)</f>
        <v>146</v>
      </c>
      <c r="O9" s="29"/>
      <c r="P9" s="18" t="n">
        <f aca="false">SUM(C9:N9)</f>
        <v>1426</v>
      </c>
    </row>
    <row r="10" customFormat="false" ht="18" hidden="false" customHeight="true" outlineLevel="0" collapsed="false">
      <c r="B10" s="35" t="s">
        <v>41</v>
      </c>
      <c r="C10" s="12" t="n">
        <v>140</v>
      </c>
      <c r="D10" s="12" t="n">
        <f aca="false">ROUND(C10*1.12,0)</f>
        <v>157</v>
      </c>
      <c r="E10" s="12" t="n">
        <f aca="false">ROUND(D10*1.12,0)</f>
        <v>176</v>
      </c>
      <c r="F10" s="12" t="n">
        <f aca="false">ROUND(E10*1.12,0)</f>
        <v>197</v>
      </c>
      <c r="G10" s="12" t="n">
        <f aca="false">ROUND(F10*1.12,0)</f>
        <v>221</v>
      </c>
      <c r="H10" s="12" t="n">
        <f aca="false">ROUND(G10*1.12,0)</f>
        <v>248</v>
      </c>
      <c r="I10" s="12" t="n">
        <f aca="false">ROUND(H10*1.12,0)</f>
        <v>278</v>
      </c>
      <c r="J10" s="12" t="n">
        <f aca="false">ROUND(I10*1.12,0)</f>
        <v>311</v>
      </c>
      <c r="K10" s="12" t="n">
        <f aca="false">ROUND(J10*1.12,0)</f>
        <v>348</v>
      </c>
      <c r="L10" s="12" t="n">
        <f aca="false">ROUND(K10*1.12,0)</f>
        <v>390</v>
      </c>
      <c r="M10" s="12" t="n">
        <f aca="false">ROUND(L10*1.12,0)</f>
        <v>437</v>
      </c>
      <c r="N10" s="12" t="n">
        <f aca="false">ROUND(M10*1.12,0)</f>
        <v>489</v>
      </c>
      <c r="O10" s="29"/>
      <c r="P10" s="12" t="n">
        <f aca="false">SUM(C10:N10)</f>
        <v>3392</v>
      </c>
    </row>
    <row r="11" customFormat="false" ht="18" hidden="false" customHeight="true" outlineLevel="0" collapsed="false">
      <c r="B11" s="36" t="s">
        <v>42</v>
      </c>
      <c r="C11" s="37" t="n">
        <f aca="false">SUM(C7:C10)</f>
        <v>735</v>
      </c>
      <c r="D11" s="37" t="n">
        <f aca="false">SUM(D7:D10)</f>
        <v>795</v>
      </c>
      <c r="E11" s="37" t="n">
        <f aca="false">SUM(E7:E10)</f>
        <v>859</v>
      </c>
      <c r="F11" s="37" t="n">
        <f aca="false">SUM(F7:F10)</f>
        <v>929</v>
      </c>
      <c r="G11" s="37" t="n">
        <f aca="false">SUM(G7:G10)</f>
        <v>1006</v>
      </c>
      <c r="H11" s="37" t="n">
        <f aca="false">SUM(H7:H10)</f>
        <v>1090</v>
      </c>
      <c r="I11" s="37" t="n">
        <f aca="false">SUM(I7:I10)</f>
        <v>1182</v>
      </c>
      <c r="J11" s="37" t="n">
        <f aca="false">SUM(J7:J10)</f>
        <v>1281</v>
      </c>
      <c r="K11" s="37" t="n">
        <f aca="false">SUM(K7:K10)</f>
        <v>1389</v>
      </c>
      <c r="L11" s="37" t="n">
        <f aca="false">SUM(L7:L10)</f>
        <v>1507</v>
      </c>
      <c r="M11" s="37" t="n">
        <f aca="false">SUM(M7:M10)</f>
        <v>1637</v>
      </c>
      <c r="N11" s="37" t="n">
        <f aca="false">SUM(N7:N10)</f>
        <v>1778</v>
      </c>
      <c r="O11" s="29"/>
      <c r="P11" s="37" t="n">
        <f aca="false">SUM(C11:N11)</f>
        <v>14188</v>
      </c>
    </row>
    <row r="12" customFormat="false" ht="18" hidden="false" customHeight="true" outlineLevel="0" collapsed="false">
      <c r="B12" s="32" t="s">
        <v>43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9"/>
      <c r="P12" s="33"/>
    </row>
    <row r="13" customFormat="false" ht="18" hidden="false" customHeight="true" outlineLevel="0" collapsed="false">
      <c r="B13" s="34" t="s">
        <v>44</v>
      </c>
      <c r="C13" s="18" t="n">
        <v>120</v>
      </c>
      <c r="D13" s="18" t="n">
        <f aca="false">ROUND(C13*1.02,0)</f>
        <v>122</v>
      </c>
      <c r="E13" s="18" t="n">
        <f aca="false">ROUND(D13*1.02,0)</f>
        <v>124</v>
      </c>
      <c r="F13" s="18" t="n">
        <f aca="false">ROUND(E13*1.02,0)</f>
        <v>126</v>
      </c>
      <c r="G13" s="18" t="n">
        <f aca="false">ROUND(F13*1.02,0)</f>
        <v>129</v>
      </c>
      <c r="H13" s="18" t="n">
        <f aca="false">ROUND(G13*1.02,0)</f>
        <v>132</v>
      </c>
      <c r="I13" s="18" t="n">
        <f aca="false">ROUND(H13*1.02,0)</f>
        <v>135</v>
      </c>
      <c r="J13" s="18" t="n">
        <f aca="false">ROUND(I13*1.02,0)</f>
        <v>138</v>
      </c>
      <c r="K13" s="18" t="n">
        <f aca="false">ROUND(J13*1.02,0)</f>
        <v>141</v>
      </c>
      <c r="L13" s="18" t="n">
        <f aca="false">ROUND(K13*1.02,0)</f>
        <v>144</v>
      </c>
      <c r="M13" s="18" t="n">
        <f aca="false">ROUND(L13*1.02,0)</f>
        <v>147</v>
      </c>
      <c r="N13" s="18" t="n">
        <f aca="false">ROUND(M13*1.02,0)</f>
        <v>150</v>
      </c>
      <c r="O13" s="29"/>
      <c r="P13" s="18" t="n">
        <f aca="false">SUM(C13:N13)</f>
        <v>1608</v>
      </c>
    </row>
    <row r="14" customFormat="false" ht="18" hidden="false" customHeight="true" outlineLevel="0" collapsed="false">
      <c r="B14" s="35" t="s">
        <v>45</v>
      </c>
      <c r="C14" s="12" t="n">
        <v>80</v>
      </c>
      <c r="D14" s="12" t="n">
        <f aca="false">ROUND(C14*1.04,0)</f>
        <v>83</v>
      </c>
      <c r="E14" s="12" t="n">
        <f aca="false">ROUND(D14*1.04,0)</f>
        <v>86</v>
      </c>
      <c r="F14" s="12" t="n">
        <f aca="false">ROUND(E14*1.04,0)</f>
        <v>89</v>
      </c>
      <c r="G14" s="12" t="n">
        <f aca="false">ROUND(F14*1.04,0)</f>
        <v>93</v>
      </c>
      <c r="H14" s="12" t="n">
        <f aca="false">ROUND(G14*1.04,0)</f>
        <v>97</v>
      </c>
      <c r="I14" s="12" t="n">
        <f aca="false">ROUND(H14*1.04,0)</f>
        <v>101</v>
      </c>
      <c r="J14" s="12" t="n">
        <f aca="false">ROUND(I14*1.04,0)</f>
        <v>105</v>
      </c>
      <c r="K14" s="12" t="n">
        <f aca="false">ROUND(J14*1.04,0)</f>
        <v>109</v>
      </c>
      <c r="L14" s="12" t="n">
        <f aca="false">ROUND(K14*1.04,0)</f>
        <v>113</v>
      </c>
      <c r="M14" s="12" t="n">
        <f aca="false">ROUND(L14*1.04,0)</f>
        <v>118</v>
      </c>
      <c r="N14" s="12" t="n">
        <f aca="false">ROUND(M14*1.04,0)</f>
        <v>123</v>
      </c>
      <c r="O14" s="29"/>
      <c r="P14" s="12" t="n">
        <f aca="false">SUM(C14:N14)</f>
        <v>1197</v>
      </c>
    </row>
    <row r="15" customFormat="false" ht="18" hidden="false" customHeight="true" outlineLevel="0" collapsed="false">
      <c r="B15" s="36" t="s">
        <v>46</v>
      </c>
      <c r="C15" s="37" t="n">
        <f aca="false">SUM(C13:C14)</f>
        <v>200</v>
      </c>
      <c r="D15" s="37" t="n">
        <f aca="false">SUM(D13:D14)</f>
        <v>205</v>
      </c>
      <c r="E15" s="37" t="n">
        <f aca="false">SUM(E13:E14)</f>
        <v>210</v>
      </c>
      <c r="F15" s="37" t="n">
        <f aca="false">SUM(F13:F14)</f>
        <v>215</v>
      </c>
      <c r="G15" s="37" t="n">
        <f aca="false">SUM(G13:G14)</f>
        <v>222</v>
      </c>
      <c r="H15" s="37" t="n">
        <f aca="false">SUM(H13:H14)</f>
        <v>229</v>
      </c>
      <c r="I15" s="37" t="n">
        <f aca="false">SUM(I13:I14)</f>
        <v>236</v>
      </c>
      <c r="J15" s="37" t="n">
        <f aca="false">SUM(J13:J14)</f>
        <v>243</v>
      </c>
      <c r="K15" s="37" t="n">
        <f aca="false">SUM(K13:K14)</f>
        <v>250</v>
      </c>
      <c r="L15" s="37" t="n">
        <f aca="false">SUM(L13:L14)</f>
        <v>257</v>
      </c>
      <c r="M15" s="37" t="n">
        <f aca="false">SUM(M13:M14)</f>
        <v>265</v>
      </c>
      <c r="N15" s="37" t="n">
        <f aca="false">SUM(N13:N14)</f>
        <v>273</v>
      </c>
      <c r="O15" s="29"/>
      <c r="P15" s="37" t="n">
        <f aca="false">SUM(C15:N15)</f>
        <v>2805</v>
      </c>
    </row>
    <row r="16" customFormat="false" ht="18" hidden="false" customHeight="true" outlineLevel="0" collapsed="false">
      <c r="B16" s="32" t="s">
        <v>47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9"/>
      <c r="P16" s="33"/>
    </row>
    <row r="17" customFormat="false" ht="18" hidden="false" customHeight="true" outlineLevel="0" collapsed="false">
      <c r="B17" s="34" t="s">
        <v>48</v>
      </c>
      <c r="C17" s="18" t="n">
        <v>850</v>
      </c>
      <c r="D17" s="18" t="n">
        <f aca="false">ROUND(C17*1.03,0)</f>
        <v>876</v>
      </c>
      <c r="E17" s="18" t="n">
        <f aca="false">ROUND(D17*1.03,0)</f>
        <v>902</v>
      </c>
      <c r="F17" s="18" t="n">
        <f aca="false">ROUND(E17*1.03,0)</f>
        <v>929</v>
      </c>
      <c r="G17" s="18" t="n">
        <f aca="false">ROUND(F17*1.03,0)</f>
        <v>957</v>
      </c>
      <c r="H17" s="18" t="n">
        <f aca="false">ROUND(G17*1.03,0)</f>
        <v>986</v>
      </c>
      <c r="I17" s="18" t="n">
        <f aca="false">ROUND(H17*1.03,0)</f>
        <v>1016</v>
      </c>
      <c r="J17" s="18" t="n">
        <f aca="false">ROUND(I17*1.03,0)</f>
        <v>1046</v>
      </c>
      <c r="K17" s="18" t="n">
        <f aca="false">ROUND(J17*1.03,0)</f>
        <v>1077</v>
      </c>
      <c r="L17" s="18" t="n">
        <f aca="false">ROUND(K17*1.03,0)</f>
        <v>1109</v>
      </c>
      <c r="M17" s="18" t="n">
        <f aca="false">ROUND(L17*1.03,0)</f>
        <v>1142</v>
      </c>
      <c r="N17" s="18" t="n">
        <f aca="false">ROUND(M17*1.03,0)</f>
        <v>1176</v>
      </c>
      <c r="O17" s="29"/>
      <c r="P17" s="18" t="n">
        <f aca="false">SUM(C17:N17)</f>
        <v>12066</v>
      </c>
    </row>
    <row r="18" customFormat="false" ht="18" hidden="false" customHeight="true" outlineLevel="0" collapsed="false">
      <c r="B18" s="35" t="s">
        <v>49</v>
      </c>
      <c r="C18" s="12" t="n">
        <v>200</v>
      </c>
      <c r="D18" s="12" t="n">
        <f aca="false">ROUND(C18*1.05,0)</f>
        <v>210</v>
      </c>
      <c r="E18" s="12" t="n">
        <f aca="false">ROUND(D18*1.05,0)</f>
        <v>221</v>
      </c>
      <c r="F18" s="12" t="n">
        <f aca="false">ROUND(E18*1.05,0)</f>
        <v>232</v>
      </c>
      <c r="G18" s="12" t="n">
        <f aca="false">ROUND(F18*1.05,0)</f>
        <v>244</v>
      </c>
      <c r="H18" s="12" t="n">
        <f aca="false">ROUND(G18*1.05,0)</f>
        <v>256</v>
      </c>
      <c r="I18" s="12" t="n">
        <f aca="false">ROUND(H18*1.05,0)</f>
        <v>269</v>
      </c>
      <c r="J18" s="12" t="n">
        <f aca="false">ROUND(I18*1.05,0)</f>
        <v>282</v>
      </c>
      <c r="K18" s="12" t="n">
        <f aca="false">ROUND(J18*1.05,0)</f>
        <v>296</v>
      </c>
      <c r="L18" s="12" t="n">
        <f aca="false">ROUND(K18*1.05,0)</f>
        <v>311</v>
      </c>
      <c r="M18" s="12" t="n">
        <f aca="false">ROUND(L18*1.05,0)</f>
        <v>327</v>
      </c>
      <c r="N18" s="12" t="n">
        <f aca="false">ROUND(M18*1.05,0)</f>
        <v>343</v>
      </c>
      <c r="O18" s="29"/>
      <c r="P18" s="12" t="n">
        <f aca="false">SUM(C18:N18)</f>
        <v>3191</v>
      </c>
    </row>
    <row r="19" customFormat="false" ht="18" hidden="false" customHeight="true" outlineLevel="0" collapsed="false">
      <c r="B19" s="34" t="s">
        <v>50</v>
      </c>
      <c r="C19" s="18" t="n">
        <v>750</v>
      </c>
      <c r="D19" s="18" t="n">
        <f aca="false">ROUND(C19*1.03,0)</f>
        <v>773</v>
      </c>
      <c r="E19" s="18" t="n">
        <f aca="false">ROUND(D19*1.03,0)</f>
        <v>796</v>
      </c>
      <c r="F19" s="18" t="n">
        <f aca="false">ROUND(E19*1.03,0)</f>
        <v>820</v>
      </c>
      <c r="G19" s="18" t="n">
        <f aca="false">ROUND(F19*1.03,0)</f>
        <v>845</v>
      </c>
      <c r="H19" s="18" t="n">
        <f aca="false">ROUND(G19*1.03,0)</f>
        <v>870</v>
      </c>
      <c r="I19" s="18" t="n">
        <f aca="false">ROUND(H19*1.03,0)</f>
        <v>896</v>
      </c>
      <c r="J19" s="18" t="n">
        <f aca="false">ROUND(I19*1.03,0)</f>
        <v>923</v>
      </c>
      <c r="K19" s="18" t="n">
        <f aca="false">ROUND(J19*1.03,0)</f>
        <v>951</v>
      </c>
      <c r="L19" s="18" t="n">
        <f aca="false">ROUND(K19*1.03,0)</f>
        <v>980</v>
      </c>
      <c r="M19" s="18" t="n">
        <f aca="false">ROUND(L19*1.03,0)</f>
        <v>1009</v>
      </c>
      <c r="N19" s="18" t="n">
        <f aca="false">ROUND(M19*1.03,0)</f>
        <v>1039</v>
      </c>
      <c r="O19" s="29"/>
      <c r="P19" s="18" t="n">
        <f aca="false">SUM(C19:N19)</f>
        <v>10652</v>
      </c>
    </row>
    <row r="20" customFormat="false" ht="18" hidden="false" customHeight="true" outlineLevel="0" collapsed="false">
      <c r="B20" s="35" t="s">
        <v>51</v>
      </c>
      <c r="C20" s="12" t="n">
        <v>300</v>
      </c>
      <c r="D20" s="12" t="n">
        <f aca="false">ROUND(C20*1.07,0)</f>
        <v>321</v>
      </c>
      <c r="E20" s="12" t="n">
        <f aca="false">ROUND(D20*1.07,0)</f>
        <v>343</v>
      </c>
      <c r="F20" s="12" t="n">
        <f aca="false">ROUND(E20*1.07,0)</f>
        <v>367</v>
      </c>
      <c r="G20" s="12" t="n">
        <f aca="false">ROUND(F20*1.07,0)</f>
        <v>393</v>
      </c>
      <c r="H20" s="12" t="n">
        <f aca="false">ROUND(G20*1.07,0)</f>
        <v>421</v>
      </c>
      <c r="I20" s="12" t="n">
        <f aca="false">ROUND(H20*1.07,0)</f>
        <v>450</v>
      </c>
      <c r="J20" s="12" t="n">
        <f aca="false">ROUND(I20*1.07,0)</f>
        <v>482</v>
      </c>
      <c r="K20" s="12" t="n">
        <f aca="false">ROUND(J20*1.07,0)</f>
        <v>516</v>
      </c>
      <c r="L20" s="12" t="n">
        <f aca="false">ROUND(K20*1.07,0)</f>
        <v>552</v>
      </c>
      <c r="M20" s="12" t="n">
        <f aca="false">ROUND(L20*1.07,0)</f>
        <v>591</v>
      </c>
      <c r="N20" s="12" t="n">
        <f aca="false">ROUND(M20*1.07,0)</f>
        <v>632</v>
      </c>
      <c r="O20" s="29"/>
      <c r="P20" s="12" t="n">
        <f aca="false">SUM(C20:N20)</f>
        <v>5368</v>
      </c>
    </row>
    <row r="21" customFormat="false" ht="18" hidden="false" customHeight="true" outlineLevel="0" collapsed="false">
      <c r="B21" s="36" t="s">
        <v>52</v>
      </c>
      <c r="C21" s="37" t="n">
        <f aca="false">SUM(C17:C20)</f>
        <v>2100</v>
      </c>
      <c r="D21" s="37" t="n">
        <f aca="false">SUM(D17:D20)</f>
        <v>2180</v>
      </c>
      <c r="E21" s="37" t="n">
        <f aca="false">SUM(E17:E20)</f>
        <v>2262</v>
      </c>
      <c r="F21" s="37" t="n">
        <f aca="false">SUM(F17:F20)</f>
        <v>2348</v>
      </c>
      <c r="G21" s="37" t="n">
        <f aca="false">SUM(G17:G20)</f>
        <v>2439</v>
      </c>
      <c r="H21" s="37" t="n">
        <f aca="false">SUM(H17:H20)</f>
        <v>2533</v>
      </c>
      <c r="I21" s="37" t="n">
        <f aca="false">SUM(I17:I20)</f>
        <v>2631</v>
      </c>
      <c r="J21" s="37" t="n">
        <f aca="false">SUM(J17:J20)</f>
        <v>2733</v>
      </c>
      <c r="K21" s="37" t="n">
        <f aca="false">SUM(K17:K20)</f>
        <v>2840</v>
      </c>
      <c r="L21" s="37" t="n">
        <f aca="false">SUM(L17:L20)</f>
        <v>2952</v>
      </c>
      <c r="M21" s="37" t="n">
        <f aca="false">SUM(M17:M20)</f>
        <v>3069</v>
      </c>
      <c r="N21" s="37" t="n">
        <f aca="false">SUM(N17:N20)</f>
        <v>3190</v>
      </c>
      <c r="O21" s="29"/>
      <c r="P21" s="37" t="n">
        <f aca="false">SUM(C21:N21)</f>
        <v>31277</v>
      </c>
    </row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4060"/>
    <pageSetUpPr fitToPage="false"/>
  </sheetPr>
  <dimension ref="B2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14" min="3" style="0" width="11"/>
    <col collapsed="false" customWidth="true" hidden="false" outlineLevel="0" max="15" min="15" style="0" width="1.51"/>
    <col collapsed="false" customWidth="true" hidden="false" outlineLevel="0" max="16" min="16" style="0" width="14"/>
  </cols>
  <sheetData>
    <row r="2" customFormat="false" ht="27.75" hidden="false" customHeight="true" outlineLevel="0" collapsed="false">
      <c r="B2" s="1" t="s">
        <v>53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.75" hidden="false" customHeight="true" outlineLevel="0" collapsed="false">
      <c r="B3" s="2" t="s">
        <v>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B4" s="10" t="s">
        <v>55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s">
        <v>26</v>
      </c>
      <c r="N4" s="10" t="s">
        <v>27</v>
      </c>
      <c r="O4" s="10"/>
      <c r="P4" s="10" t="s">
        <v>35</v>
      </c>
    </row>
    <row r="5" customFormat="false" ht="18" hidden="false" customHeight="true" outlineLevel="0" collapsed="false">
      <c r="B5" s="30" t="s">
        <v>56</v>
      </c>
      <c r="C5" s="38" t="n">
        <f aca="false">C10+C15+C20+C26</f>
        <v>2736</v>
      </c>
      <c r="D5" s="38" t="n">
        <f aca="false">D10+D15+D20+D26</f>
        <v>2785</v>
      </c>
      <c r="E5" s="38" t="n">
        <f aca="false">E10+E15+E20+E26</f>
        <v>2835</v>
      </c>
      <c r="F5" s="38" t="n">
        <f aca="false">F10+F15+F20+F26</f>
        <v>2887</v>
      </c>
      <c r="G5" s="38" t="n">
        <f aca="false">G10+G15+G20+G26</f>
        <v>2940</v>
      </c>
      <c r="H5" s="38" t="n">
        <f aca="false">H10+H15+H20+H26</f>
        <v>2995</v>
      </c>
      <c r="I5" s="38" t="n">
        <f aca="false">I10+I15+I20+I26</f>
        <v>3051</v>
      </c>
      <c r="J5" s="38" t="n">
        <f aca="false">J10+J15+J20+J26</f>
        <v>3110</v>
      </c>
      <c r="K5" s="38" t="n">
        <f aca="false">K10+K15+K20+K26</f>
        <v>3172</v>
      </c>
      <c r="L5" s="38" t="n">
        <f aca="false">L10+L15+L20+L26</f>
        <v>3237</v>
      </c>
      <c r="M5" s="38" t="n">
        <f aca="false">M10+M15+M20+M26</f>
        <v>3306</v>
      </c>
      <c r="N5" s="38" t="n">
        <f aca="false">N10+N15+N20+N26</f>
        <v>3377</v>
      </c>
      <c r="O5" s="29"/>
      <c r="P5" s="38" t="n">
        <f aca="false">SUM(C5:N5)</f>
        <v>36431</v>
      </c>
    </row>
    <row r="6" customFormat="false" ht="18" hidden="false" customHeight="true" outlineLevel="0" collapsed="false">
      <c r="B6" s="32" t="s">
        <v>57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29"/>
      <c r="P6" s="33"/>
    </row>
    <row r="7" customFormat="false" ht="18" hidden="false" customHeight="true" outlineLevel="0" collapsed="false">
      <c r="B7" s="34" t="s">
        <v>58</v>
      </c>
      <c r="C7" s="18" t="n">
        <v>280</v>
      </c>
      <c r="D7" s="18" t="n">
        <f aca="false">ROUND(C7*1.02,0)</f>
        <v>286</v>
      </c>
      <c r="E7" s="18" t="n">
        <f aca="false">ROUND(D7*1.02,0)</f>
        <v>292</v>
      </c>
      <c r="F7" s="18" t="n">
        <f aca="false">ROUND(E7*1.02,0)</f>
        <v>298</v>
      </c>
      <c r="G7" s="18" t="n">
        <f aca="false">ROUND(F7*1.02,0)</f>
        <v>304</v>
      </c>
      <c r="H7" s="18" t="n">
        <f aca="false">ROUND(G7*1.02,0)</f>
        <v>310</v>
      </c>
      <c r="I7" s="18" t="n">
        <f aca="false">ROUND(H7*1.02,0)</f>
        <v>316</v>
      </c>
      <c r="J7" s="18" t="n">
        <f aca="false">ROUND(I7*1.02,0)</f>
        <v>322</v>
      </c>
      <c r="K7" s="18" t="n">
        <f aca="false">ROUND(J7*1.02,0)</f>
        <v>328</v>
      </c>
      <c r="L7" s="18" t="n">
        <f aca="false">ROUND(K7*1.02,0)</f>
        <v>335</v>
      </c>
      <c r="M7" s="18" t="n">
        <f aca="false">ROUND(L7*1.02,0)</f>
        <v>342</v>
      </c>
      <c r="N7" s="18" t="n">
        <f aca="false">ROUND(M7*1.02,0)</f>
        <v>349</v>
      </c>
      <c r="O7" s="29"/>
      <c r="P7" s="18" t="n">
        <f aca="false">SUM(C7:N7)</f>
        <v>3762</v>
      </c>
    </row>
    <row r="8" customFormat="false" ht="18" hidden="false" customHeight="true" outlineLevel="0" collapsed="false">
      <c r="B8" s="35" t="s">
        <v>59</v>
      </c>
      <c r="C8" s="12" t="n">
        <v>25</v>
      </c>
      <c r="D8" s="12" t="n">
        <v>25</v>
      </c>
      <c r="E8" s="12" t="n">
        <v>25</v>
      </c>
      <c r="F8" s="12" t="n">
        <v>25</v>
      </c>
      <c r="G8" s="12" t="n">
        <v>25</v>
      </c>
      <c r="H8" s="12" t="n">
        <v>25</v>
      </c>
      <c r="I8" s="12" t="n">
        <v>25</v>
      </c>
      <c r="J8" s="12" t="n">
        <v>25</v>
      </c>
      <c r="K8" s="12" t="n">
        <v>25</v>
      </c>
      <c r="L8" s="12" t="n">
        <v>25</v>
      </c>
      <c r="M8" s="12" t="n">
        <v>25</v>
      </c>
      <c r="N8" s="12" t="n">
        <v>25</v>
      </c>
      <c r="O8" s="29"/>
      <c r="P8" s="12" t="n">
        <f aca="false">SUM(C8:N8)</f>
        <v>300</v>
      </c>
    </row>
    <row r="9" customFormat="false" ht="18" hidden="false" customHeight="true" outlineLevel="0" collapsed="false">
      <c r="B9" s="34" t="s">
        <v>60</v>
      </c>
      <c r="C9" s="18" t="n">
        <v>90</v>
      </c>
      <c r="D9" s="18" t="n">
        <f aca="false">ROUND(C9*1.03,0)</f>
        <v>93</v>
      </c>
      <c r="E9" s="18" t="n">
        <f aca="false">ROUND(D9*1.03,0)</f>
        <v>96</v>
      </c>
      <c r="F9" s="18" t="n">
        <f aca="false">ROUND(E9*1.03,0)</f>
        <v>99</v>
      </c>
      <c r="G9" s="18" t="n">
        <f aca="false">ROUND(F9*1.03,0)</f>
        <v>102</v>
      </c>
      <c r="H9" s="18" t="n">
        <f aca="false">ROUND(G9*1.03,0)</f>
        <v>105</v>
      </c>
      <c r="I9" s="18" t="n">
        <f aca="false">ROUND(H9*1.03,0)</f>
        <v>108</v>
      </c>
      <c r="J9" s="18" t="n">
        <f aca="false">ROUND(I9*1.03,0)</f>
        <v>111</v>
      </c>
      <c r="K9" s="18" t="n">
        <f aca="false">ROUND(J9*1.03,0)</f>
        <v>114</v>
      </c>
      <c r="L9" s="18" t="n">
        <f aca="false">ROUND(K9*1.03,0)</f>
        <v>117</v>
      </c>
      <c r="M9" s="18" t="n">
        <f aca="false">ROUND(L9*1.03,0)</f>
        <v>121</v>
      </c>
      <c r="N9" s="18" t="n">
        <f aca="false">ROUND(M9*1.03,0)</f>
        <v>125</v>
      </c>
      <c r="O9" s="29"/>
      <c r="P9" s="18" t="n">
        <f aca="false">SUM(C9:N9)</f>
        <v>1281</v>
      </c>
    </row>
    <row r="10" customFormat="false" ht="18" hidden="false" customHeight="true" outlineLevel="0" collapsed="false">
      <c r="B10" s="39" t="s">
        <v>61</v>
      </c>
      <c r="C10" s="40" t="n">
        <f aca="false">SUM(C7:C9)</f>
        <v>395</v>
      </c>
      <c r="D10" s="40" t="n">
        <f aca="false">SUM(D7:D9)</f>
        <v>404</v>
      </c>
      <c r="E10" s="40" t="n">
        <f aca="false">SUM(E7:E9)</f>
        <v>413</v>
      </c>
      <c r="F10" s="40" t="n">
        <f aca="false">SUM(F7:F9)</f>
        <v>422</v>
      </c>
      <c r="G10" s="40" t="n">
        <f aca="false">SUM(G7:G9)</f>
        <v>431</v>
      </c>
      <c r="H10" s="40" t="n">
        <f aca="false">SUM(H7:H9)</f>
        <v>440</v>
      </c>
      <c r="I10" s="40" t="n">
        <f aca="false">SUM(I7:I9)</f>
        <v>449</v>
      </c>
      <c r="J10" s="40" t="n">
        <f aca="false">SUM(J7:J9)</f>
        <v>458</v>
      </c>
      <c r="K10" s="40" t="n">
        <f aca="false">SUM(K7:K9)</f>
        <v>467</v>
      </c>
      <c r="L10" s="40" t="n">
        <f aca="false">SUM(L7:L9)</f>
        <v>477</v>
      </c>
      <c r="M10" s="40" t="n">
        <f aca="false">SUM(M7:M9)</f>
        <v>488</v>
      </c>
      <c r="N10" s="40" t="n">
        <f aca="false">SUM(N7:N9)</f>
        <v>499</v>
      </c>
      <c r="O10" s="29"/>
      <c r="P10" s="40" t="n">
        <f aca="false">SUM(C10:N10)</f>
        <v>5343</v>
      </c>
    </row>
    <row r="11" customFormat="false" ht="18" hidden="false" customHeight="true" outlineLevel="0" collapsed="false">
      <c r="B11" s="32" t="s">
        <v>62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29"/>
      <c r="P11" s="33"/>
    </row>
    <row r="12" customFormat="false" ht="18" hidden="false" customHeight="true" outlineLevel="0" collapsed="false">
      <c r="B12" s="35" t="s">
        <v>63</v>
      </c>
      <c r="C12" s="12" t="n">
        <v>600</v>
      </c>
      <c r="D12" s="12" t="n">
        <v>600</v>
      </c>
      <c r="E12" s="12" t="n">
        <v>600</v>
      </c>
      <c r="F12" s="12" t="n">
        <v>600</v>
      </c>
      <c r="G12" s="12" t="n">
        <v>600</v>
      </c>
      <c r="H12" s="12" t="n">
        <v>600</v>
      </c>
      <c r="I12" s="12" t="n">
        <v>600</v>
      </c>
      <c r="J12" s="12" t="n">
        <v>600</v>
      </c>
      <c r="K12" s="12" t="n">
        <v>600</v>
      </c>
      <c r="L12" s="12" t="n">
        <v>600</v>
      </c>
      <c r="M12" s="12" t="n">
        <v>600</v>
      </c>
      <c r="N12" s="12" t="n">
        <v>600</v>
      </c>
      <c r="O12" s="29"/>
      <c r="P12" s="12" t="n">
        <f aca="false">SUM(C12:N12)</f>
        <v>7200</v>
      </c>
    </row>
    <row r="13" customFormat="false" ht="18" hidden="false" customHeight="true" outlineLevel="0" collapsed="false">
      <c r="B13" s="34" t="s">
        <v>64</v>
      </c>
      <c r="C13" s="18" t="n">
        <v>400</v>
      </c>
      <c r="D13" s="18" t="n">
        <v>400</v>
      </c>
      <c r="E13" s="18" t="n">
        <v>400</v>
      </c>
      <c r="F13" s="18" t="n">
        <v>400</v>
      </c>
      <c r="G13" s="18" t="n">
        <v>400</v>
      </c>
      <c r="H13" s="18" t="n">
        <v>400</v>
      </c>
      <c r="I13" s="18" t="n">
        <v>400</v>
      </c>
      <c r="J13" s="18" t="n">
        <v>400</v>
      </c>
      <c r="K13" s="18" t="n">
        <v>400</v>
      </c>
      <c r="L13" s="18" t="n">
        <v>400</v>
      </c>
      <c r="M13" s="18" t="n">
        <v>400</v>
      </c>
      <c r="N13" s="18" t="n">
        <v>400</v>
      </c>
      <c r="O13" s="29"/>
      <c r="P13" s="18" t="n">
        <f aca="false">SUM(C13:N13)</f>
        <v>4800</v>
      </c>
    </row>
    <row r="14" customFormat="false" ht="18" hidden="false" customHeight="true" outlineLevel="0" collapsed="false">
      <c r="B14" s="35" t="s">
        <v>65</v>
      </c>
      <c r="C14" s="12" t="n">
        <v>80</v>
      </c>
      <c r="D14" s="12" t="n">
        <f aca="false">ROUND(C14*1.01,0)</f>
        <v>81</v>
      </c>
      <c r="E14" s="12" t="n">
        <f aca="false">ROUND(D14*1.01,0)</f>
        <v>82</v>
      </c>
      <c r="F14" s="12" t="n">
        <f aca="false">ROUND(E14*1.01,0)</f>
        <v>83</v>
      </c>
      <c r="G14" s="12" t="n">
        <f aca="false">ROUND(F14*1.01,0)</f>
        <v>84</v>
      </c>
      <c r="H14" s="12" t="n">
        <f aca="false">ROUND(G14*1.01,0)</f>
        <v>85</v>
      </c>
      <c r="I14" s="12" t="n">
        <f aca="false">ROUND(H14*1.01,0)</f>
        <v>86</v>
      </c>
      <c r="J14" s="12" t="n">
        <f aca="false">ROUND(I14*1.01,0)</f>
        <v>87</v>
      </c>
      <c r="K14" s="12" t="n">
        <f aca="false">ROUND(J14*1.01,0)</f>
        <v>88</v>
      </c>
      <c r="L14" s="12" t="n">
        <f aca="false">ROUND(K14*1.01,0)</f>
        <v>89</v>
      </c>
      <c r="M14" s="12" t="n">
        <f aca="false">ROUND(L14*1.01,0)</f>
        <v>90</v>
      </c>
      <c r="N14" s="12" t="n">
        <f aca="false">ROUND(M14*1.01,0)</f>
        <v>91</v>
      </c>
      <c r="O14" s="29"/>
      <c r="P14" s="12" t="n">
        <f aca="false">SUM(C14:N14)</f>
        <v>1026</v>
      </c>
    </row>
    <row r="15" customFormat="false" ht="18" hidden="false" customHeight="true" outlineLevel="0" collapsed="false">
      <c r="B15" s="39" t="s">
        <v>66</v>
      </c>
      <c r="C15" s="40" t="n">
        <f aca="false">SUM(C12:C14)</f>
        <v>1080</v>
      </c>
      <c r="D15" s="40" t="n">
        <f aca="false">SUM(D12:D14)</f>
        <v>1081</v>
      </c>
      <c r="E15" s="40" t="n">
        <f aca="false">SUM(E12:E14)</f>
        <v>1082</v>
      </c>
      <c r="F15" s="40" t="n">
        <f aca="false">SUM(F12:F14)</f>
        <v>1083</v>
      </c>
      <c r="G15" s="40" t="n">
        <f aca="false">SUM(G12:G14)</f>
        <v>1084</v>
      </c>
      <c r="H15" s="40" t="n">
        <f aca="false">SUM(H12:H14)</f>
        <v>1085</v>
      </c>
      <c r="I15" s="40" t="n">
        <f aca="false">SUM(I12:I14)</f>
        <v>1086</v>
      </c>
      <c r="J15" s="40" t="n">
        <f aca="false">SUM(J12:J14)</f>
        <v>1087</v>
      </c>
      <c r="K15" s="40" t="n">
        <f aca="false">SUM(K12:K14)</f>
        <v>1088</v>
      </c>
      <c r="L15" s="40" t="n">
        <f aca="false">SUM(L12:L14)</f>
        <v>1089</v>
      </c>
      <c r="M15" s="40" t="n">
        <f aca="false">SUM(M12:M14)</f>
        <v>1090</v>
      </c>
      <c r="N15" s="40" t="n">
        <f aca="false">SUM(N12:N14)</f>
        <v>1091</v>
      </c>
      <c r="O15" s="29"/>
      <c r="P15" s="40" t="n">
        <f aca="false">SUM(C15:N15)</f>
        <v>13026</v>
      </c>
    </row>
    <row r="16" customFormat="false" ht="18" hidden="false" customHeight="true" outlineLevel="0" collapsed="false">
      <c r="B16" s="32" t="s">
        <v>67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9"/>
      <c r="P16" s="33"/>
    </row>
    <row r="17" customFormat="false" ht="18" hidden="false" customHeight="true" outlineLevel="0" collapsed="false">
      <c r="B17" s="34" t="s">
        <v>68</v>
      </c>
      <c r="C17" s="18" t="n">
        <v>350</v>
      </c>
      <c r="D17" s="18" t="n">
        <f aca="false">ROUND(C17*1.05,0)</f>
        <v>368</v>
      </c>
      <c r="E17" s="18" t="n">
        <f aca="false">ROUND(D17*1.05,0)</f>
        <v>386</v>
      </c>
      <c r="F17" s="18" t="n">
        <f aca="false">ROUND(E17*1.05,0)</f>
        <v>405</v>
      </c>
      <c r="G17" s="18" t="n">
        <f aca="false">ROUND(F17*1.05,0)</f>
        <v>425</v>
      </c>
      <c r="H17" s="18" t="n">
        <f aca="false">ROUND(G17*1.05,0)</f>
        <v>446</v>
      </c>
      <c r="I17" s="18" t="n">
        <f aca="false">ROUND(H17*1.05,0)</f>
        <v>468</v>
      </c>
      <c r="J17" s="18" t="n">
        <f aca="false">ROUND(I17*1.05,0)</f>
        <v>491</v>
      </c>
      <c r="K17" s="18" t="n">
        <f aca="false">ROUND(J17*1.05,0)</f>
        <v>516</v>
      </c>
      <c r="L17" s="18" t="n">
        <f aca="false">ROUND(K17*1.05,0)</f>
        <v>542</v>
      </c>
      <c r="M17" s="18" t="n">
        <f aca="false">ROUND(L17*1.05,0)</f>
        <v>569</v>
      </c>
      <c r="N17" s="18" t="n">
        <f aca="false">ROUND(M17*1.05,0)</f>
        <v>597</v>
      </c>
      <c r="O17" s="29"/>
      <c r="P17" s="18" t="n">
        <f aca="false">SUM(C17:N17)</f>
        <v>5563</v>
      </c>
    </row>
    <row r="18" customFormat="false" ht="18" hidden="false" customHeight="true" outlineLevel="0" collapsed="false">
      <c r="B18" s="35" t="s">
        <v>69</v>
      </c>
      <c r="C18" s="12" t="n">
        <v>200</v>
      </c>
      <c r="D18" s="12" t="n">
        <f aca="false">ROUND(C18*1.04,0)</f>
        <v>208</v>
      </c>
      <c r="E18" s="12" t="n">
        <f aca="false">ROUND(D18*1.04,0)</f>
        <v>216</v>
      </c>
      <c r="F18" s="12" t="n">
        <f aca="false">ROUND(E18*1.04,0)</f>
        <v>225</v>
      </c>
      <c r="G18" s="12" t="n">
        <f aca="false">ROUND(F18*1.04,0)</f>
        <v>234</v>
      </c>
      <c r="H18" s="12" t="n">
        <f aca="false">ROUND(G18*1.04,0)</f>
        <v>243</v>
      </c>
      <c r="I18" s="12" t="n">
        <f aca="false">ROUND(H18*1.04,0)</f>
        <v>253</v>
      </c>
      <c r="J18" s="12" t="n">
        <f aca="false">ROUND(I18*1.04,0)</f>
        <v>263</v>
      </c>
      <c r="K18" s="12" t="n">
        <f aca="false">ROUND(J18*1.04,0)</f>
        <v>274</v>
      </c>
      <c r="L18" s="12" t="n">
        <f aca="false">ROUND(K18*1.04,0)</f>
        <v>285</v>
      </c>
      <c r="M18" s="12" t="n">
        <f aca="false">ROUND(L18*1.04,0)</f>
        <v>296</v>
      </c>
      <c r="N18" s="12" t="n">
        <f aca="false">ROUND(M18*1.04,0)</f>
        <v>308</v>
      </c>
      <c r="O18" s="29"/>
      <c r="P18" s="12" t="n">
        <f aca="false">SUM(C18:N18)</f>
        <v>3005</v>
      </c>
    </row>
    <row r="19" customFormat="false" ht="18" hidden="false" customHeight="true" outlineLevel="0" collapsed="false">
      <c r="B19" s="34" t="s">
        <v>70</v>
      </c>
      <c r="C19" s="18" t="n">
        <v>150</v>
      </c>
      <c r="D19" s="18" t="n">
        <f aca="false">ROUND(C19*1.03,0)</f>
        <v>155</v>
      </c>
      <c r="E19" s="18" t="n">
        <f aca="false">ROUND(D19*1.03,0)</f>
        <v>160</v>
      </c>
      <c r="F19" s="18" t="n">
        <f aca="false">ROUND(E19*1.03,0)</f>
        <v>165</v>
      </c>
      <c r="G19" s="18" t="n">
        <f aca="false">ROUND(F19*1.03,0)</f>
        <v>170</v>
      </c>
      <c r="H19" s="18" t="n">
        <f aca="false">ROUND(G19*1.03,0)</f>
        <v>175</v>
      </c>
      <c r="I19" s="18" t="n">
        <f aca="false">ROUND(H19*1.03,0)</f>
        <v>180</v>
      </c>
      <c r="J19" s="18" t="n">
        <f aca="false">ROUND(I19*1.03,0)</f>
        <v>185</v>
      </c>
      <c r="K19" s="18" t="n">
        <f aca="false">ROUND(J19*1.03,0)</f>
        <v>191</v>
      </c>
      <c r="L19" s="18" t="n">
        <f aca="false">ROUND(K19*1.03,0)</f>
        <v>197</v>
      </c>
      <c r="M19" s="18" t="n">
        <f aca="false">ROUND(L19*1.03,0)</f>
        <v>203</v>
      </c>
      <c r="N19" s="18" t="n">
        <f aca="false">ROUND(M19*1.03,0)</f>
        <v>209</v>
      </c>
      <c r="O19" s="29"/>
      <c r="P19" s="18" t="n">
        <f aca="false">SUM(C19:N19)</f>
        <v>2140</v>
      </c>
    </row>
    <row r="20" customFormat="false" ht="18" hidden="false" customHeight="true" outlineLevel="0" collapsed="false">
      <c r="B20" s="39" t="s">
        <v>71</v>
      </c>
      <c r="C20" s="40" t="n">
        <f aca="false">SUM(C17:C19)</f>
        <v>700</v>
      </c>
      <c r="D20" s="40" t="n">
        <f aca="false">SUM(D17:D19)</f>
        <v>731</v>
      </c>
      <c r="E20" s="40" t="n">
        <f aca="false">SUM(E17:E19)</f>
        <v>762</v>
      </c>
      <c r="F20" s="40" t="n">
        <f aca="false">SUM(F17:F19)</f>
        <v>795</v>
      </c>
      <c r="G20" s="40" t="n">
        <f aca="false">SUM(G17:G19)</f>
        <v>829</v>
      </c>
      <c r="H20" s="40" t="n">
        <f aca="false">SUM(H17:H19)</f>
        <v>864</v>
      </c>
      <c r="I20" s="40" t="n">
        <f aca="false">SUM(I17:I19)</f>
        <v>901</v>
      </c>
      <c r="J20" s="40" t="n">
        <f aca="false">SUM(J17:J19)</f>
        <v>939</v>
      </c>
      <c r="K20" s="40" t="n">
        <f aca="false">SUM(K17:K19)</f>
        <v>981</v>
      </c>
      <c r="L20" s="40" t="n">
        <f aca="false">SUM(L17:L19)</f>
        <v>1024</v>
      </c>
      <c r="M20" s="40" t="n">
        <f aca="false">SUM(M17:M19)</f>
        <v>1068</v>
      </c>
      <c r="N20" s="40" t="n">
        <f aca="false">SUM(N17:N19)</f>
        <v>1114</v>
      </c>
      <c r="O20" s="29"/>
      <c r="P20" s="40" t="n">
        <f aca="false">SUM(C20:N20)</f>
        <v>10708</v>
      </c>
    </row>
    <row r="21" customFormat="false" ht="18" hidden="false" customHeight="true" outlineLevel="0" collapsed="false">
      <c r="B21" s="32" t="s">
        <v>72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29"/>
      <c r="P21" s="33"/>
    </row>
    <row r="22" customFormat="false" ht="18" hidden="false" customHeight="true" outlineLevel="0" collapsed="false">
      <c r="B22" s="35" t="s">
        <v>73</v>
      </c>
      <c r="C22" s="12" t="n">
        <v>150</v>
      </c>
      <c r="D22" s="12" t="n">
        <f aca="false">ROUND(C22*1.02,0)</f>
        <v>153</v>
      </c>
      <c r="E22" s="12" t="n">
        <f aca="false">ROUND(D22*1.02,0)</f>
        <v>156</v>
      </c>
      <c r="F22" s="12" t="n">
        <f aca="false">ROUND(E22*1.02,0)</f>
        <v>159</v>
      </c>
      <c r="G22" s="12" t="n">
        <f aca="false">ROUND(F22*1.02,0)</f>
        <v>162</v>
      </c>
      <c r="H22" s="12" t="n">
        <f aca="false">ROUND(G22*1.02,0)</f>
        <v>165</v>
      </c>
      <c r="I22" s="12" t="n">
        <f aca="false">ROUND(H22*1.02,0)</f>
        <v>168</v>
      </c>
      <c r="J22" s="12" t="n">
        <f aca="false">ROUND(I22*1.02,0)</f>
        <v>171</v>
      </c>
      <c r="K22" s="12" t="n">
        <f aca="false">ROUND(J22*1.02,0)</f>
        <v>174</v>
      </c>
      <c r="L22" s="12" t="n">
        <f aca="false">ROUND(K22*1.02,0)</f>
        <v>177</v>
      </c>
      <c r="M22" s="12" t="n">
        <f aca="false">ROUND(L22*1.02,0)</f>
        <v>181</v>
      </c>
      <c r="N22" s="12" t="n">
        <f aca="false">ROUND(M22*1.02,0)</f>
        <v>185</v>
      </c>
      <c r="O22" s="29"/>
      <c r="P22" s="12" t="n">
        <f aca="false">SUM(C22:N22)</f>
        <v>2001</v>
      </c>
    </row>
    <row r="23" customFormat="false" ht="18" hidden="false" customHeight="true" outlineLevel="0" collapsed="false">
      <c r="B23" s="34" t="s">
        <v>74</v>
      </c>
      <c r="C23" s="18" t="n">
        <v>120</v>
      </c>
      <c r="D23" s="18" t="n">
        <f aca="false">ROUND(C23*1.01,0)</f>
        <v>121</v>
      </c>
      <c r="E23" s="18" t="n">
        <f aca="false">ROUND(D23*1.01,0)</f>
        <v>122</v>
      </c>
      <c r="F23" s="18" t="n">
        <f aca="false">ROUND(E23*1.01,0)</f>
        <v>123</v>
      </c>
      <c r="G23" s="18" t="n">
        <f aca="false">ROUND(F23*1.01,0)</f>
        <v>124</v>
      </c>
      <c r="H23" s="18" t="n">
        <f aca="false">ROUND(G23*1.01,0)</f>
        <v>125</v>
      </c>
      <c r="I23" s="18" t="n">
        <f aca="false">ROUND(H23*1.01,0)</f>
        <v>126</v>
      </c>
      <c r="J23" s="18" t="n">
        <f aca="false">ROUND(I23*1.01,0)</f>
        <v>127</v>
      </c>
      <c r="K23" s="18" t="n">
        <f aca="false">ROUND(J23*1.01,0)</f>
        <v>128</v>
      </c>
      <c r="L23" s="18" t="n">
        <f aca="false">ROUND(K23*1.01,0)</f>
        <v>129</v>
      </c>
      <c r="M23" s="18" t="n">
        <f aca="false">ROUND(L23*1.01,0)</f>
        <v>130</v>
      </c>
      <c r="N23" s="18" t="n">
        <f aca="false">ROUND(M23*1.01,0)</f>
        <v>131</v>
      </c>
      <c r="O23" s="29"/>
      <c r="P23" s="18" t="n">
        <f aca="false">SUM(C23:N23)</f>
        <v>1506</v>
      </c>
    </row>
    <row r="24" customFormat="false" ht="18" hidden="false" customHeight="true" outlineLevel="0" collapsed="false">
      <c r="B24" s="35" t="s">
        <v>75</v>
      </c>
      <c r="C24" s="12" t="n">
        <f aca="false">ROUND(Receitas!C5*0.03,0)</f>
        <v>91</v>
      </c>
      <c r="D24" s="12" t="n">
        <f aca="false">ROUND(Receitas!D5*0.03,0)</f>
        <v>95</v>
      </c>
      <c r="E24" s="12" t="n">
        <f aca="false">ROUND(Receitas!E5*0.03,0)</f>
        <v>100</v>
      </c>
      <c r="F24" s="12" t="n">
        <f aca="false">ROUND(Receitas!F5*0.03,0)</f>
        <v>105</v>
      </c>
      <c r="G24" s="12" t="n">
        <f aca="false">ROUND(Receitas!G5*0.03,0)</f>
        <v>110</v>
      </c>
      <c r="H24" s="12" t="n">
        <f aca="false">ROUND(Receitas!H5*0.03,0)</f>
        <v>116</v>
      </c>
      <c r="I24" s="12" t="n">
        <f aca="false">ROUND(Receitas!I5*0.03,0)</f>
        <v>121</v>
      </c>
      <c r="J24" s="12" t="n">
        <f aca="false">ROUND(Receitas!J5*0.03,0)</f>
        <v>128</v>
      </c>
      <c r="K24" s="12" t="n">
        <f aca="false">ROUND(Receitas!K5*0.03,0)</f>
        <v>134</v>
      </c>
      <c r="L24" s="12" t="n">
        <f aca="false">ROUND(Receitas!L5*0.03,0)</f>
        <v>141</v>
      </c>
      <c r="M24" s="12" t="n">
        <f aca="false">ROUND(Receitas!M5*0.03,0)</f>
        <v>149</v>
      </c>
      <c r="N24" s="12" t="n">
        <f aca="false">ROUND(Receitas!N5*0.03,0)</f>
        <v>157</v>
      </c>
      <c r="O24" s="29"/>
      <c r="P24" s="12" t="n">
        <f aca="false">SUM(C24:N24)</f>
        <v>1447</v>
      </c>
    </row>
    <row r="25" customFormat="false" ht="18" hidden="false" customHeight="true" outlineLevel="0" collapsed="false">
      <c r="B25" s="34" t="s">
        <v>76</v>
      </c>
      <c r="C25" s="18" t="n">
        <v>200</v>
      </c>
      <c r="D25" s="18" t="n">
        <v>200</v>
      </c>
      <c r="E25" s="18" t="n">
        <v>200</v>
      </c>
      <c r="F25" s="18" t="n">
        <v>200</v>
      </c>
      <c r="G25" s="18" t="n">
        <v>200</v>
      </c>
      <c r="H25" s="18" t="n">
        <v>200</v>
      </c>
      <c r="I25" s="18" t="n">
        <v>200</v>
      </c>
      <c r="J25" s="18" t="n">
        <v>200</v>
      </c>
      <c r="K25" s="18" t="n">
        <v>200</v>
      </c>
      <c r="L25" s="18" t="n">
        <v>200</v>
      </c>
      <c r="M25" s="18" t="n">
        <v>200</v>
      </c>
      <c r="N25" s="18" t="n">
        <v>200</v>
      </c>
      <c r="O25" s="29"/>
      <c r="P25" s="18" t="n">
        <f aca="false">SUM(C25:N25)</f>
        <v>2400</v>
      </c>
    </row>
    <row r="26" customFormat="false" ht="18" hidden="false" customHeight="true" outlineLevel="0" collapsed="false">
      <c r="B26" s="39" t="s">
        <v>42</v>
      </c>
      <c r="C26" s="40" t="n">
        <f aca="false">SUM(C22:C25)</f>
        <v>561</v>
      </c>
      <c r="D26" s="40" t="n">
        <f aca="false">SUM(D22:D25)</f>
        <v>569</v>
      </c>
      <c r="E26" s="40" t="n">
        <f aca="false">SUM(E22:E25)</f>
        <v>578</v>
      </c>
      <c r="F26" s="40" t="n">
        <f aca="false">SUM(F22:F25)</f>
        <v>587</v>
      </c>
      <c r="G26" s="40" t="n">
        <f aca="false">SUM(G22:G25)</f>
        <v>596</v>
      </c>
      <c r="H26" s="40" t="n">
        <f aca="false">SUM(H22:H25)</f>
        <v>606</v>
      </c>
      <c r="I26" s="40" t="n">
        <f aca="false">SUM(I22:I25)</f>
        <v>615</v>
      </c>
      <c r="J26" s="40" t="n">
        <f aca="false">SUM(J22:J25)</f>
        <v>626</v>
      </c>
      <c r="K26" s="40" t="n">
        <f aca="false">SUM(K22:K25)</f>
        <v>636</v>
      </c>
      <c r="L26" s="40" t="n">
        <f aca="false">SUM(L22:L25)</f>
        <v>647</v>
      </c>
      <c r="M26" s="40" t="n">
        <f aca="false">SUM(M22:M25)</f>
        <v>660</v>
      </c>
      <c r="N26" s="40" t="n">
        <f aca="false">SUM(N22:N25)</f>
        <v>673</v>
      </c>
      <c r="O26" s="29"/>
      <c r="P26" s="40" t="n">
        <f aca="false">SUM(C26:N26)</f>
        <v>7354</v>
      </c>
    </row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40"/>
    <pageSetUpPr fitToPage="false"/>
  </sheetPr>
  <dimension ref="B2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14" min="3" style="0" width="11"/>
    <col collapsed="false" customWidth="true" hidden="false" outlineLevel="0" max="15" min="15" style="0" width="1.51"/>
    <col collapsed="false" customWidth="true" hidden="false" outlineLevel="0" max="16" min="16" style="0" width="14"/>
  </cols>
  <sheetData>
    <row r="2" customFormat="false" ht="27.75" hidden="false" customHeight="true" outlineLevel="0" collapsed="false">
      <c r="B2" s="1" t="s">
        <v>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.75" hidden="false" customHeight="true" outlineLevel="0" collapsed="false">
      <c r="B3" s="2" t="s">
        <v>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B4" s="10" t="s">
        <v>79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s">
        <v>26</v>
      </c>
      <c r="N4" s="10" t="s">
        <v>27</v>
      </c>
      <c r="O4" s="10"/>
      <c r="P4" s="10" t="s">
        <v>35</v>
      </c>
    </row>
    <row r="5" customFormat="false" ht="18" hidden="false" customHeight="true" outlineLevel="0" collapsed="false">
      <c r="B5" s="41" t="s">
        <v>80</v>
      </c>
      <c r="C5" s="42" t="n">
        <f aca="false">Receitas!C5</f>
        <v>3035</v>
      </c>
      <c r="D5" s="42" t="n">
        <f aca="false">Receitas!D5</f>
        <v>3180</v>
      </c>
      <c r="E5" s="42" t="n">
        <f aca="false">Receitas!E5</f>
        <v>3331</v>
      </c>
      <c r="F5" s="42" t="n">
        <f aca="false">Receitas!F5</f>
        <v>3492</v>
      </c>
      <c r="G5" s="42" t="n">
        <f aca="false">Receitas!G5</f>
        <v>3667</v>
      </c>
      <c r="H5" s="42" t="n">
        <f aca="false">Receitas!H5</f>
        <v>3852</v>
      </c>
      <c r="I5" s="42" t="n">
        <f aca="false">Receitas!I5</f>
        <v>4049</v>
      </c>
      <c r="J5" s="42" t="n">
        <f aca="false">Receitas!J5</f>
        <v>4257</v>
      </c>
      <c r="K5" s="42" t="n">
        <f aca="false">Receitas!K5</f>
        <v>4479</v>
      </c>
      <c r="L5" s="42" t="n">
        <f aca="false">Receitas!L5</f>
        <v>4716</v>
      </c>
      <c r="M5" s="42" t="n">
        <f aca="false">Receitas!M5</f>
        <v>4971</v>
      </c>
      <c r="N5" s="42" t="n">
        <f aca="false">Receitas!N5</f>
        <v>5241</v>
      </c>
      <c r="O5" s="29"/>
      <c r="P5" s="42" t="n">
        <f aca="false">SUM(C5:N5)</f>
        <v>48270</v>
      </c>
    </row>
    <row r="6" customFormat="false" ht="18" hidden="false" customHeight="true" outlineLevel="0" collapsed="false">
      <c r="B6" s="35" t="s">
        <v>81</v>
      </c>
      <c r="C6" s="12" t="n">
        <f aca="false">Pagamentos!C25</f>
        <v>1640</v>
      </c>
      <c r="D6" s="12" t="n">
        <f aca="false">Pagamentos!D25</f>
        <v>1820</v>
      </c>
      <c r="E6" s="12" t="n">
        <f aca="false">Pagamentos!E25</f>
        <v>2020</v>
      </c>
      <c r="F6" s="12" t="n">
        <f aca="false">Pagamentos!F25</f>
        <v>2220</v>
      </c>
      <c r="G6" s="12" t="n">
        <f aca="false">Pagamentos!G25</f>
        <v>2460</v>
      </c>
      <c r="H6" s="12" t="n">
        <f aca="false">Pagamentos!H25</f>
        <v>2720</v>
      </c>
      <c r="I6" s="12" t="n">
        <f aca="false">Pagamentos!I25</f>
        <v>3020</v>
      </c>
      <c r="J6" s="12" t="n">
        <f aca="false">Pagamentos!J25</f>
        <v>3340</v>
      </c>
      <c r="K6" s="12" t="n">
        <f aca="false">Pagamentos!K25</f>
        <v>3720</v>
      </c>
      <c r="L6" s="12" t="n">
        <f aca="false">Pagamentos!L25</f>
        <v>4120</v>
      </c>
      <c r="M6" s="12" t="n">
        <f aca="false">Pagamentos!M25</f>
        <v>4580</v>
      </c>
      <c r="N6" s="12" t="n">
        <f aca="false">Pagamentos!N25</f>
        <v>5080</v>
      </c>
      <c r="O6" s="29"/>
      <c r="P6" s="12" t="n">
        <f aca="false">SUM(C6:N6)</f>
        <v>36740</v>
      </c>
    </row>
    <row r="7" customFormat="false" ht="18" hidden="false" customHeight="true" outlineLevel="0" collapsed="false">
      <c r="B7" s="43" t="s">
        <v>82</v>
      </c>
      <c r="C7" s="44" t="n">
        <f aca="false">C5+C6</f>
        <v>4675</v>
      </c>
      <c r="D7" s="44" t="n">
        <f aca="false">D5+D6</f>
        <v>5000</v>
      </c>
      <c r="E7" s="44" t="n">
        <f aca="false">E5+E6</f>
        <v>5351</v>
      </c>
      <c r="F7" s="44" t="n">
        <f aca="false">F5+F6</f>
        <v>5712</v>
      </c>
      <c r="G7" s="44" t="n">
        <f aca="false">G5+G6</f>
        <v>6127</v>
      </c>
      <c r="H7" s="44" t="n">
        <f aca="false">H5+H6</f>
        <v>6572</v>
      </c>
      <c r="I7" s="44" t="n">
        <f aca="false">I5+I6</f>
        <v>7069</v>
      </c>
      <c r="J7" s="44" t="n">
        <f aca="false">J5+J6</f>
        <v>7597</v>
      </c>
      <c r="K7" s="44" t="n">
        <f aca="false">K5+K6</f>
        <v>8199</v>
      </c>
      <c r="L7" s="44" t="n">
        <f aca="false">L5+L6</f>
        <v>8836</v>
      </c>
      <c r="M7" s="44" t="n">
        <f aca="false">M5+M6</f>
        <v>9551</v>
      </c>
      <c r="N7" s="44" t="n">
        <f aca="false">N5+N6</f>
        <v>10321</v>
      </c>
      <c r="O7" s="29"/>
      <c r="P7" s="44" t="n">
        <f aca="false">SUM(C7:N7)</f>
        <v>85010</v>
      </c>
    </row>
    <row r="8" customFormat="false" ht="18" hidden="false" customHeight="true" outlineLevel="0" collapsed="false">
      <c r="B8" s="35" t="s">
        <v>83</v>
      </c>
      <c r="C8" s="12" t="n">
        <f aca="false">ROUND(C7*-0.08,0)</f>
        <v>-374</v>
      </c>
      <c r="D8" s="12" t="n">
        <f aca="false">ROUND(D7*-0.08,0)</f>
        <v>-400</v>
      </c>
      <c r="E8" s="12" t="n">
        <f aca="false">ROUND(E7*-0.08,0)</f>
        <v>-428</v>
      </c>
      <c r="F8" s="12" t="n">
        <f aca="false">ROUND(F7*-0.08,0)</f>
        <v>-457</v>
      </c>
      <c r="G8" s="12" t="n">
        <f aca="false">ROUND(G7*-0.08,0)</f>
        <v>-490</v>
      </c>
      <c r="H8" s="12" t="n">
        <f aca="false">ROUND(H7*-0.08,0)</f>
        <v>-526</v>
      </c>
      <c r="I8" s="12" t="n">
        <f aca="false">ROUND(I7*-0.08,0)</f>
        <v>-566</v>
      </c>
      <c r="J8" s="12" t="n">
        <f aca="false">ROUND(J7*-0.08,0)</f>
        <v>-608</v>
      </c>
      <c r="K8" s="12" t="n">
        <f aca="false">ROUND(K7*-0.08,0)</f>
        <v>-656</v>
      </c>
      <c r="L8" s="12" t="n">
        <f aca="false">ROUND(L7*-0.08,0)</f>
        <v>-707</v>
      </c>
      <c r="M8" s="12" t="n">
        <f aca="false">ROUND(M7*-0.08,0)</f>
        <v>-764</v>
      </c>
      <c r="N8" s="12" t="n">
        <f aca="false">ROUND(N7*-0.08,0)</f>
        <v>-826</v>
      </c>
      <c r="O8" s="29"/>
      <c r="P8" s="12" t="n">
        <f aca="false">SUM(C8:N8)</f>
        <v>-6802</v>
      </c>
    </row>
    <row r="9" customFormat="false" ht="18" hidden="false" customHeight="true" outlineLevel="0" collapsed="false">
      <c r="B9" s="36" t="s">
        <v>84</v>
      </c>
      <c r="C9" s="37" t="n">
        <f aca="false">C7+C8</f>
        <v>4301</v>
      </c>
      <c r="D9" s="37" t="n">
        <f aca="false">D7+D8</f>
        <v>4600</v>
      </c>
      <c r="E9" s="37" t="n">
        <f aca="false">E7+E8</f>
        <v>4923</v>
      </c>
      <c r="F9" s="37" t="n">
        <f aca="false">F7+F8</f>
        <v>5255</v>
      </c>
      <c r="G9" s="37" t="n">
        <f aca="false">G7+G8</f>
        <v>5637</v>
      </c>
      <c r="H9" s="37" t="n">
        <f aca="false">H7+H8</f>
        <v>6046</v>
      </c>
      <c r="I9" s="37" t="n">
        <f aca="false">I7+I8</f>
        <v>6503</v>
      </c>
      <c r="J9" s="37" t="n">
        <f aca="false">J7+J8</f>
        <v>6989</v>
      </c>
      <c r="K9" s="37" t="n">
        <f aca="false">K7+K8</f>
        <v>7543</v>
      </c>
      <c r="L9" s="37" t="n">
        <f aca="false">L7+L8</f>
        <v>8129</v>
      </c>
      <c r="M9" s="37" t="n">
        <f aca="false">M7+M8</f>
        <v>8787</v>
      </c>
      <c r="N9" s="37" t="n">
        <f aca="false">N7+N8</f>
        <v>9495</v>
      </c>
      <c r="O9" s="29"/>
      <c r="P9" s="37" t="n">
        <f aca="false">SUM(C9:N9)</f>
        <v>78208</v>
      </c>
    </row>
    <row r="10" customFormat="false" ht="18" hidden="false" customHeight="true" outlineLevel="0" collapsed="false">
      <c r="B10" s="35" t="s">
        <v>85</v>
      </c>
      <c r="C10" s="12" t="n">
        <f aca="false">Custos!C5*-1</f>
        <v>-2736</v>
      </c>
      <c r="D10" s="12" t="n">
        <f aca="false">Custos!D5*-1</f>
        <v>-2785</v>
      </c>
      <c r="E10" s="12" t="n">
        <f aca="false">Custos!E5*-1</f>
        <v>-2835</v>
      </c>
      <c r="F10" s="12" t="n">
        <f aca="false">Custos!F5*-1</f>
        <v>-2887</v>
      </c>
      <c r="G10" s="12" t="n">
        <f aca="false">Custos!G5*-1</f>
        <v>-2940</v>
      </c>
      <c r="H10" s="12" t="n">
        <f aca="false">Custos!H5*-1</f>
        <v>-2995</v>
      </c>
      <c r="I10" s="12" t="n">
        <f aca="false">Custos!I5*-1</f>
        <v>-3051</v>
      </c>
      <c r="J10" s="12" t="n">
        <f aca="false">Custos!J5*-1</f>
        <v>-3110</v>
      </c>
      <c r="K10" s="12" t="n">
        <f aca="false">Custos!K5*-1</f>
        <v>-3172</v>
      </c>
      <c r="L10" s="12" t="n">
        <f aca="false">Custos!L5*-1</f>
        <v>-3237</v>
      </c>
      <c r="M10" s="12" t="n">
        <f aca="false">Custos!M5*-1</f>
        <v>-3306</v>
      </c>
      <c r="N10" s="12" t="n">
        <f aca="false">Custos!N5*-1</f>
        <v>-3377</v>
      </c>
      <c r="O10" s="29"/>
      <c r="P10" s="12" t="n">
        <f aca="false">SUM(C10:N10)</f>
        <v>-36431</v>
      </c>
    </row>
    <row r="11" customFormat="false" ht="18" hidden="false" customHeight="true" outlineLevel="0" collapsed="false">
      <c r="B11" s="45" t="s">
        <v>86</v>
      </c>
      <c r="C11" s="46" t="n">
        <f aca="false">C9+C10</f>
        <v>1565</v>
      </c>
      <c r="D11" s="46" t="n">
        <f aca="false">D9+D10</f>
        <v>1815</v>
      </c>
      <c r="E11" s="46" t="n">
        <f aca="false">E9+E10</f>
        <v>2088</v>
      </c>
      <c r="F11" s="46" t="n">
        <f aca="false">F9+F10</f>
        <v>2368</v>
      </c>
      <c r="G11" s="46" t="n">
        <f aca="false">G9+G10</f>
        <v>2697</v>
      </c>
      <c r="H11" s="46" t="n">
        <f aca="false">H9+H10</f>
        <v>3051</v>
      </c>
      <c r="I11" s="46" t="n">
        <f aca="false">I9+I10</f>
        <v>3452</v>
      </c>
      <c r="J11" s="46" t="n">
        <f aca="false">J9+J10</f>
        <v>3879</v>
      </c>
      <c r="K11" s="46" t="n">
        <f aca="false">K9+K10</f>
        <v>4371</v>
      </c>
      <c r="L11" s="46" t="n">
        <f aca="false">L9+L10</f>
        <v>4892</v>
      </c>
      <c r="M11" s="46" t="n">
        <f aca="false">M9+M10</f>
        <v>5481</v>
      </c>
      <c r="N11" s="46" t="n">
        <f aca="false">N9+N10</f>
        <v>6118</v>
      </c>
      <c r="O11" s="29"/>
      <c r="P11" s="46" t="n">
        <f aca="false">SUM(C11:N11)</f>
        <v>41777</v>
      </c>
    </row>
    <row r="12" customFormat="false" ht="18" hidden="false" customHeight="true" outlineLevel="0" collapsed="false">
      <c r="B12" s="35" t="s">
        <v>87</v>
      </c>
      <c r="C12" s="12" t="n">
        <f aca="false">-180</f>
        <v>-180</v>
      </c>
      <c r="D12" s="12" t="n">
        <f aca="false">-180</f>
        <v>-180</v>
      </c>
      <c r="E12" s="12" t="n">
        <f aca="false">-180</f>
        <v>-180</v>
      </c>
      <c r="F12" s="12" t="n">
        <f aca="false">-180</f>
        <v>-180</v>
      </c>
      <c r="G12" s="12" t="n">
        <f aca="false">-180</f>
        <v>-180</v>
      </c>
      <c r="H12" s="12" t="n">
        <f aca="false">-180</f>
        <v>-180</v>
      </c>
      <c r="I12" s="12" t="n">
        <f aca="false">-180</f>
        <v>-180</v>
      </c>
      <c r="J12" s="12" t="n">
        <f aca="false">-180</f>
        <v>-180</v>
      </c>
      <c r="K12" s="12" t="n">
        <f aca="false">-180</f>
        <v>-180</v>
      </c>
      <c r="L12" s="12" t="n">
        <f aca="false">-180</f>
        <v>-180</v>
      </c>
      <c r="M12" s="12" t="n">
        <f aca="false">-180</f>
        <v>-180</v>
      </c>
      <c r="N12" s="12" t="n">
        <f aca="false">-180</f>
        <v>-180</v>
      </c>
      <c r="O12" s="29"/>
      <c r="P12" s="12" t="n">
        <f aca="false">SUM(C12:N12)</f>
        <v>-2160</v>
      </c>
    </row>
    <row r="13" customFormat="false" ht="18" hidden="false" customHeight="true" outlineLevel="0" collapsed="false">
      <c r="B13" s="47" t="s">
        <v>88</v>
      </c>
      <c r="C13" s="48" t="n">
        <f aca="false">C11+C12</f>
        <v>1385</v>
      </c>
      <c r="D13" s="48" t="n">
        <f aca="false">D11+D12</f>
        <v>1635</v>
      </c>
      <c r="E13" s="48" t="n">
        <f aca="false">E11+E12</f>
        <v>1908</v>
      </c>
      <c r="F13" s="48" t="n">
        <f aca="false">F11+F12</f>
        <v>2188</v>
      </c>
      <c r="G13" s="48" t="n">
        <f aca="false">G11+G12</f>
        <v>2517</v>
      </c>
      <c r="H13" s="48" t="n">
        <f aca="false">H11+H12</f>
        <v>2871</v>
      </c>
      <c r="I13" s="48" t="n">
        <f aca="false">I11+I12</f>
        <v>3272</v>
      </c>
      <c r="J13" s="48" t="n">
        <f aca="false">J11+J12</f>
        <v>3699</v>
      </c>
      <c r="K13" s="48" t="n">
        <f aca="false">K11+K12</f>
        <v>4191</v>
      </c>
      <c r="L13" s="48" t="n">
        <f aca="false">L11+L12</f>
        <v>4712</v>
      </c>
      <c r="M13" s="48" t="n">
        <f aca="false">M11+M12</f>
        <v>5301</v>
      </c>
      <c r="N13" s="48" t="n">
        <f aca="false">N11+N12</f>
        <v>5938</v>
      </c>
      <c r="O13" s="29"/>
      <c r="P13" s="48" t="n">
        <f aca="false">SUM(C13:N13)</f>
        <v>39617</v>
      </c>
    </row>
    <row r="14" customFormat="false" ht="18" hidden="false" customHeight="true" outlineLevel="0" collapsed="false">
      <c r="B14" s="49" t="s">
        <v>89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29"/>
      <c r="P14" s="51"/>
    </row>
    <row r="15" customFormat="false" ht="18" hidden="false" customHeight="true" outlineLevel="0" collapsed="false">
      <c r="B15" s="34" t="s">
        <v>90</v>
      </c>
      <c r="C15" s="22" t="n">
        <f aca="false">IFERROR(C9/C7,0)</f>
        <v>0.92</v>
      </c>
      <c r="D15" s="22" t="n">
        <f aca="false">IFERROR(D9/D7,0)</f>
        <v>0.92</v>
      </c>
      <c r="E15" s="22" t="n">
        <f aca="false">IFERROR(E9/E7,0)</f>
        <v>0.920014950476547</v>
      </c>
      <c r="F15" s="22" t="n">
        <f aca="false">IFERROR(F9/F7,0)</f>
        <v>0.91999299719888</v>
      </c>
      <c r="G15" s="22" t="n">
        <f aca="false">IFERROR(G9/G7,0)</f>
        <v>0.920026113921985</v>
      </c>
      <c r="H15" s="22" t="n">
        <f aca="false">IFERROR(H9/H7,0)</f>
        <v>0.919963481436397</v>
      </c>
      <c r="I15" s="22" t="n">
        <f aca="false">IFERROR(I9/I7,0)</f>
        <v>0.919932097892205</v>
      </c>
      <c r="J15" s="22" t="n">
        <f aca="false">IFERROR(J9/J7,0)</f>
        <v>0.919968408582335</v>
      </c>
      <c r="K15" s="22" t="n">
        <f aca="false">IFERROR(K9/K7,0)</f>
        <v>0.919990242712526</v>
      </c>
      <c r="L15" s="22" t="n">
        <f aca="false">IFERROR(L9/L7,0)</f>
        <v>0.919986419194206</v>
      </c>
      <c r="M15" s="22" t="n">
        <f aca="false">IFERROR(M9/M7,0)</f>
        <v>0.920008376086274</v>
      </c>
      <c r="N15" s="22" t="n">
        <f aca="false">IFERROR(N9/N7,0)</f>
        <v>0.919968995252398</v>
      </c>
      <c r="O15" s="29"/>
      <c r="P15" s="22" t="n">
        <f aca="false">AVERAGE(C15:N15)</f>
        <v>0.919987673562813</v>
      </c>
    </row>
    <row r="16" customFormat="false" ht="18" hidden="false" customHeight="true" outlineLevel="0" collapsed="false">
      <c r="B16" s="35" t="s">
        <v>91</v>
      </c>
      <c r="C16" s="16" t="n">
        <f aca="false">IFERROR(C11/C7,0)</f>
        <v>0.33475935828877</v>
      </c>
      <c r="D16" s="16" t="n">
        <f aca="false">IFERROR(D11/D7,0)</f>
        <v>0.363</v>
      </c>
      <c r="E16" s="16" t="n">
        <f aca="false">IFERROR(E11/E7,0)</f>
        <v>0.390207437862082</v>
      </c>
      <c r="F16" s="16" t="n">
        <f aca="false">IFERROR(F11/F7,0)</f>
        <v>0.414565826330532</v>
      </c>
      <c r="G16" s="16" t="n">
        <f aca="false">IFERROR(G11/G7,0)</f>
        <v>0.440182797453893</v>
      </c>
      <c r="H16" s="16" t="n">
        <f aca="false">IFERROR(H11/H7,0)</f>
        <v>0.464242239805234</v>
      </c>
      <c r="I16" s="16" t="n">
        <f aca="false">IFERROR(I11/I7,0)</f>
        <v>0.488329325222804</v>
      </c>
      <c r="J16" s="16" t="n">
        <f aca="false">IFERROR(J11/J7,0)</f>
        <v>0.510596288008424</v>
      </c>
      <c r="K16" s="16" t="n">
        <f aca="false">IFERROR(K11/K7,0)</f>
        <v>0.533113794365167</v>
      </c>
      <c r="L16" s="16" t="n">
        <f aca="false">IFERROR(L11/L7,0)</f>
        <v>0.553644182888185</v>
      </c>
      <c r="M16" s="16" t="n">
        <f aca="false">IFERROR(M11/M7,0)</f>
        <v>0.573866610826092</v>
      </c>
      <c r="N16" s="16" t="n">
        <f aca="false">IFERROR(N11/N7,0)</f>
        <v>0.592772018215289</v>
      </c>
      <c r="O16" s="29"/>
      <c r="P16" s="16" t="n">
        <f aca="false">AVERAGE(C16:N16)</f>
        <v>0.471606656605539</v>
      </c>
    </row>
    <row r="17" customFormat="false" ht="18" hidden="false" customHeight="true" outlineLevel="0" collapsed="false">
      <c r="B17" s="34" t="s">
        <v>92</v>
      </c>
      <c r="C17" s="22" t="n">
        <f aca="false">IFERROR(C13/C7,0)</f>
        <v>0.296256684491979</v>
      </c>
      <c r="D17" s="22" t="n">
        <f aca="false">IFERROR(D13/D7,0)</f>
        <v>0.327</v>
      </c>
      <c r="E17" s="22" t="n">
        <f aca="false">IFERROR(E13/E7,0)</f>
        <v>0.356568865632592</v>
      </c>
      <c r="F17" s="22" t="n">
        <f aca="false">IFERROR(F13/F7,0)</f>
        <v>0.383053221288515</v>
      </c>
      <c r="G17" s="22" t="n">
        <f aca="false">IFERROR(G13/G7,0)</f>
        <v>0.410804635221152</v>
      </c>
      <c r="H17" s="22" t="n">
        <f aca="false">IFERROR(H13/H7,0)</f>
        <v>0.436853317102861</v>
      </c>
      <c r="I17" s="22" t="n">
        <f aca="false">IFERROR(I13/I7,0)</f>
        <v>0.46286603479983</v>
      </c>
      <c r="J17" s="22" t="n">
        <f aca="false">IFERROR(J13/J7,0)</f>
        <v>0.486902724759774</v>
      </c>
      <c r="K17" s="22" t="n">
        <f aca="false">IFERROR(K13/K7,0)</f>
        <v>0.511159897548482</v>
      </c>
      <c r="L17" s="22" t="n">
        <f aca="false">IFERROR(L13/L7,0)</f>
        <v>0.533272974196469</v>
      </c>
      <c r="M17" s="22" t="n">
        <f aca="false">IFERROR(M13/M7,0)</f>
        <v>0.555020416710292</v>
      </c>
      <c r="N17" s="22" t="n">
        <f aca="false">IFERROR(N13/N7,0)</f>
        <v>0.575331847689177</v>
      </c>
      <c r="O17" s="29"/>
      <c r="P17" s="22" t="n">
        <f aca="false">AVERAGE(C17:N17)</f>
        <v>0.444590884953427</v>
      </c>
    </row>
    <row r="18" customFormat="false" ht="18" hidden="false" customHeight="true" outlineLevel="0" collapsed="false">
      <c r="B18" s="49" t="s">
        <v>89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29"/>
      <c r="P18" s="51"/>
    </row>
    <row r="19" customFormat="false" ht="18" hidden="false" customHeight="true" outlineLevel="0" collapsed="false">
      <c r="B19" s="34" t="s">
        <v>93</v>
      </c>
      <c r="C19" s="18" t="n">
        <f aca="false">Receitas!C21</f>
        <v>2100</v>
      </c>
      <c r="D19" s="18" t="n">
        <f aca="false">Receitas!D21</f>
        <v>2180</v>
      </c>
      <c r="E19" s="18" t="n">
        <f aca="false">Receitas!E21</f>
        <v>2262</v>
      </c>
      <c r="F19" s="18" t="n">
        <f aca="false">Receitas!F21</f>
        <v>2348</v>
      </c>
      <c r="G19" s="18" t="n">
        <f aca="false">Receitas!G21</f>
        <v>2439</v>
      </c>
      <c r="H19" s="18" t="n">
        <f aca="false">Receitas!H21</f>
        <v>2533</v>
      </c>
      <c r="I19" s="18" t="n">
        <f aca="false">Receitas!I21</f>
        <v>2631</v>
      </c>
      <c r="J19" s="18" t="n">
        <f aca="false">Receitas!J21</f>
        <v>2733</v>
      </c>
      <c r="K19" s="18" t="n">
        <f aca="false">Receitas!K21</f>
        <v>2840</v>
      </c>
      <c r="L19" s="18" t="n">
        <f aca="false">Receitas!L21</f>
        <v>2952</v>
      </c>
      <c r="M19" s="18" t="n">
        <f aca="false">Receitas!M21</f>
        <v>3069</v>
      </c>
      <c r="N19" s="18" t="n">
        <f aca="false">Receitas!N21</f>
        <v>3190</v>
      </c>
      <c r="O19" s="29"/>
      <c r="P19" s="18" t="n">
        <f aca="false">SUM(C19:N19)</f>
        <v>31277</v>
      </c>
    </row>
    <row r="20" customFormat="false" ht="18" hidden="false" customHeight="true" outlineLevel="0" collapsed="false">
      <c r="B20" s="35" t="s">
        <v>94</v>
      </c>
      <c r="C20" s="12" t="n">
        <f aca="false">Pagamentos!C25</f>
        <v>1640</v>
      </c>
      <c r="D20" s="12" t="n">
        <f aca="false">Pagamentos!D25</f>
        <v>1820</v>
      </c>
      <c r="E20" s="12" t="n">
        <f aca="false">Pagamentos!E25</f>
        <v>2020</v>
      </c>
      <c r="F20" s="12" t="n">
        <f aca="false">Pagamentos!F25</f>
        <v>2220</v>
      </c>
      <c r="G20" s="12" t="n">
        <f aca="false">Pagamentos!G25</f>
        <v>2460</v>
      </c>
      <c r="H20" s="12" t="n">
        <f aca="false">Pagamentos!H25</f>
        <v>2720</v>
      </c>
      <c r="I20" s="12" t="n">
        <f aca="false">Pagamentos!I25</f>
        <v>3020</v>
      </c>
      <c r="J20" s="12" t="n">
        <f aca="false">Pagamentos!J25</f>
        <v>3340</v>
      </c>
      <c r="K20" s="12" t="n">
        <f aca="false">Pagamentos!K25</f>
        <v>3720</v>
      </c>
      <c r="L20" s="12" t="n">
        <f aca="false">Pagamentos!L25</f>
        <v>4120</v>
      </c>
      <c r="M20" s="12" t="n">
        <f aca="false">Pagamentos!M25</f>
        <v>4580</v>
      </c>
      <c r="N20" s="12" t="n">
        <f aca="false">Pagamentos!N25</f>
        <v>5080</v>
      </c>
      <c r="O20" s="29"/>
      <c r="P20" s="12" t="n">
        <f aca="false">SUM(C20:N20)</f>
        <v>36740</v>
      </c>
    </row>
    <row r="21" customFormat="false" ht="18" hidden="false" customHeight="true" outlineLevel="0" collapsed="false">
      <c r="B21" s="34" t="s">
        <v>95</v>
      </c>
      <c r="C21" s="22" t="n">
        <f aca="false">IFERROR(Receitas!C21/C7,0)</f>
        <v>0.449197860962567</v>
      </c>
      <c r="D21" s="22" t="n">
        <f aca="false">IFERROR(Receitas!D21/D7,0)</f>
        <v>0.436</v>
      </c>
      <c r="E21" s="22" t="n">
        <f aca="false">IFERROR(Receitas!E21/E7,0)</f>
        <v>0.422724724350589</v>
      </c>
      <c r="F21" s="22" t="n">
        <f aca="false">IFERROR(Receitas!F21/F7,0)</f>
        <v>0.411064425770308</v>
      </c>
      <c r="G21" s="22" t="n">
        <f aca="false">IFERROR(Receitas!G21/G7,0)</f>
        <v>0.398074098253632</v>
      </c>
      <c r="H21" s="22" t="n">
        <f aca="false">IFERROR(Receitas!H21/H7,0)</f>
        <v>0.38542300669507</v>
      </c>
      <c r="I21" s="22" t="n">
        <f aca="false">IFERROR(Receitas!I21/I7,0)</f>
        <v>0.37218842834913</v>
      </c>
      <c r="J21" s="22" t="n">
        <f aca="false">IFERROR(Receitas!J21/J7,0)</f>
        <v>0.359747268658681</v>
      </c>
      <c r="K21" s="22" t="n">
        <f aca="false">IFERROR(Receitas!K21/K7,0)</f>
        <v>0.346383705329918</v>
      </c>
      <c r="L21" s="22" t="n">
        <f aca="false">IFERROR(Receitas!L21/L7,0)</f>
        <v>0.334087822544138</v>
      </c>
      <c r="M21" s="22" t="n">
        <f aca="false">IFERROR(Receitas!M21/M7,0)</f>
        <v>0.32132760967438</v>
      </c>
      <c r="N21" s="22" t="n">
        <f aca="false">IFERROR(Receitas!N21/N7,0)</f>
        <v>0.309078577657204</v>
      </c>
      <c r="O21" s="29"/>
      <c r="P21" s="22" t="n">
        <f aca="false">AVERAGE(C21:N21)</f>
        <v>0.378774794020468</v>
      </c>
    </row>
    <row r="22" customFormat="false" ht="18" hidden="false" customHeight="true" outlineLevel="0" collapsed="false">
      <c r="B22" s="35" t="s">
        <v>96</v>
      </c>
      <c r="C22" s="16" t="n">
        <f aca="false">IFERROR(Pagamentos!C25/C7,0)</f>
        <v>0.350802139037433</v>
      </c>
      <c r="D22" s="16" t="n">
        <f aca="false">IFERROR(Pagamentos!D25/D7,0)</f>
        <v>0.364</v>
      </c>
      <c r="E22" s="16" t="n">
        <f aca="false">IFERROR(Pagamentos!E25/E7,0)</f>
        <v>0.377499532797608</v>
      </c>
      <c r="F22" s="16" t="n">
        <f aca="false">IFERROR(Pagamentos!F25/F7,0)</f>
        <v>0.388655462184874</v>
      </c>
      <c r="G22" s="16" t="n">
        <f aca="false">IFERROR(Pagamentos!G25/G7,0)</f>
        <v>0.401501550514118</v>
      </c>
      <c r="H22" s="16" t="n">
        <f aca="false">IFERROR(Pagamentos!H25/H7,0)</f>
        <v>0.413877054169203</v>
      </c>
      <c r="I22" s="16" t="n">
        <f aca="false">IFERROR(Pagamentos!I25/I7,0)</f>
        <v>0.427217428207667</v>
      </c>
      <c r="J22" s="16" t="n">
        <f aca="false">IFERROR(Pagamentos!J25/J7,0)</f>
        <v>0.439647229169409</v>
      </c>
      <c r="K22" s="16" t="n">
        <f aca="false">IFERROR(Pagamentos!K25/K7,0)</f>
        <v>0.453713867544823</v>
      </c>
      <c r="L22" s="16" t="n">
        <f aca="false">IFERROR(Pagamentos!L25/L7,0)</f>
        <v>0.466274332277048</v>
      </c>
      <c r="M22" s="16" t="n">
        <f aca="false">IFERROR(Pagamentos!M25/M7,0)</f>
        <v>0.479530939168673</v>
      </c>
      <c r="N22" s="16" t="n">
        <f aca="false">IFERROR(Pagamentos!N25/N7,0)</f>
        <v>0.492200368181378</v>
      </c>
      <c r="O22" s="29"/>
      <c r="P22" s="16" t="n">
        <f aca="false">AVERAGE(C22:N22)</f>
        <v>0.42124332527102</v>
      </c>
    </row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40"/>
    <pageSetUpPr fitToPage="false"/>
  </sheetPr>
  <dimension ref="B2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14" min="3" style="0" width="11"/>
    <col collapsed="false" customWidth="true" hidden="false" outlineLevel="0" max="15" min="15" style="0" width="1.51"/>
    <col collapsed="false" customWidth="true" hidden="false" outlineLevel="0" max="16" min="16" style="0" width="14"/>
  </cols>
  <sheetData>
    <row r="2" customFormat="false" ht="27.75" hidden="false" customHeight="true" outlineLevel="0" collapsed="false">
      <c r="B2" s="1" t="s">
        <v>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.75" hidden="false" customHeight="true" outlineLevel="0" collapsed="false">
      <c r="B3" s="2" t="s">
        <v>98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8" hidden="false" customHeight="true" outlineLevel="0" collapsed="false">
      <c r="B4" s="52" t="s">
        <v>99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customFormat="false" ht="19.5" hidden="false" customHeight="true" outlineLevel="0" collapsed="false">
      <c r="B5" s="10" t="s">
        <v>100</v>
      </c>
      <c r="C5" s="10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0" t="s">
        <v>25</v>
      </c>
      <c r="M5" s="10" t="s">
        <v>26</v>
      </c>
      <c r="N5" s="10" t="s">
        <v>27</v>
      </c>
      <c r="O5" s="10"/>
      <c r="P5" s="10" t="s">
        <v>35</v>
      </c>
    </row>
    <row r="6" customFormat="false" ht="18" hidden="false" customHeight="true" outlineLevel="0" collapsed="false">
      <c r="B6" s="53" t="s">
        <v>101</v>
      </c>
      <c r="C6" s="31" t="n">
        <f aca="false">C16</f>
        <v>1640</v>
      </c>
      <c r="D6" s="31" t="n">
        <f aca="false">D16</f>
        <v>1820</v>
      </c>
      <c r="E6" s="31" t="n">
        <f aca="false">E16</f>
        <v>2020</v>
      </c>
      <c r="F6" s="31" t="n">
        <f aca="false">F16</f>
        <v>2220</v>
      </c>
      <c r="G6" s="31" t="n">
        <f aca="false">G16</f>
        <v>2460</v>
      </c>
      <c r="H6" s="31" t="n">
        <f aca="false">H16</f>
        <v>2720</v>
      </c>
      <c r="I6" s="31" t="n">
        <f aca="false">I16</f>
        <v>3020</v>
      </c>
      <c r="J6" s="31" t="n">
        <f aca="false">J16</f>
        <v>3340</v>
      </c>
      <c r="K6" s="31" t="n">
        <f aca="false">K16</f>
        <v>3720</v>
      </c>
      <c r="L6" s="31" t="n">
        <f aca="false">L16</f>
        <v>4120</v>
      </c>
      <c r="M6" s="31" t="n">
        <f aca="false">M16</f>
        <v>4580</v>
      </c>
      <c r="N6" s="31" t="n">
        <f aca="false">N16</f>
        <v>5080</v>
      </c>
      <c r="O6" s="29"/>
      <c r="P6" s="31" t="n">
        <f aca="false">SUM(C6:N6)</f>
        <v>36740</v>
      </c>
    </row>
    <row r="7" customFormat="false" ht="18" hidden="false" customHeight="true" outlineLevel="0" collapsed="false">
      <c r="B7" s="32" t="s">
        <v>102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29"/>
      <c r="P7" s="33"/>
    </row>
    <row r="8" customFormat="false" ht="18" hidden="false" customHeight="true" outlineLevel="0" collapsed="false">
      <c r="B8" s="35" t="s">
        <v>103</v>
      </c>
      <c r="C8" s="54" t="n">
        <v>42</v>
      </c>
      <c r="D8" s="54" t="n">
        <f aca="false">ROUND(C8*1.12,0)</f>
        <v>47</v>
      </c>
      <c r="E8" s="54" t="n">
        <f aca="false">ROUND(D8*1.12,0)</f>
        <v>53</v>
      </c>
      <c r="F8" s="54" t="n">
        <f aca="false">ROUND(E8*1.12,0)</f>
        <v>59</v>
      </c>
      <c r="G8" s="54" t="n">
        <f aca="false">ROUND(F8*1.12,0)</f>
        <v>66</v>
      </c>
      <c r="H8" s="54" t="n">
        <f aca="false">ROUND(G8*1.12,0)</f>
        <v>74</v>
      </c>
      <c r="I8" s="54" t="n">
        <f aca="false">ROUND(H8*1.12,0)</f>
        <v>83</v>
      </c>
      <c r="J8" s="54" t="n">
        <f aca="false">ROUND(I8*1.12,0)</f>
        <v>93</v>
      </c>
      <c r="K8" s="54" t="n">
        <f aca="false">ROUND(J8*1.12,0)</f>
        <v>104</v>
      </c>
      <c r="L8" s="54" t="n">
        <f aca="false">ROUND(K8*1.12,0)</f>
        <v>116</v>
      </c>
      <c r="M8" s="54" t="n">
        <f aca="false">ROUND(L8*1.12,0)</f>
        <v>130</v>
      </c>
      <c r="N8" s="54" t="n">
        <f aca="false">ROUND(M8*1.12,0)</f>
        <v>146</v>
      </c>
      <c r="O8" s="29"/>
      <c r="P8" s="54" t="n">
        <f aca="false">SUM(C8:N8)</f>
        <v>1013</v>
      </c>
    </row>
    <row r="9" customFormat="false" ht="18" hidden="false" customHeight="true" outlineLevel="0" collapsed="false">
      <c r="B9" s="34" t="s">
        <v>104</v>
      </c>
      <c r="C9" s="55" t="n">
        <v>28</v>
      </c>
      <c r="D9" s="55" t="n">
        <f aca="false">ROUND(C9*1.1,0)</f>
        <v>31</v>
      </c>
      <c r="E9" s="55" t="n">
        <f aca="false">ROUND(D9*1.1,0)</f>
        <v>34</v>
      </c>
      <c r="F9" s="55" t="n">
        <f aca="false">ROUND(E9*1.1,0)</f>
        <v>37</v>
      </c>
      <c r="G9" s="55" t="n">
        <f aca="false">ROUND(F9*1.1,0)</f>
        <v>41</v>
      </c>
      <c r="H9" s="55" t="n">
        <f aca="false">ROUND(G9*1.1,0)</f>
        <v>45</v>
      </c>
      <c r="I9" s="55" t="n">
        <f aca="false">ROUND(H9*1.1,0)</f>
        <v>50</v>
      </c>
      <c r="J9" s="55" t="n">
        <f aca="false">ROUND(I9*1.1,0)</f>
        <v>55</v>
      </c>
      <c r="K9" s="55" t="n">
        <f aca="false">ROUND(J9*1.1,0)</f>
        <v>61</v>
      </c>
      <c r="L9" s="55" t="n">
        <f aca="false">ROUND(K9*1.1,0)</f>
        <v>67</v>
      </c>
      <c r="M9" s="55" t="n">
        <f aca="false">ROUND(L9*1.1,0)</f>
        <v>74</v>
      </c>
      <c r="N9" s="55" t="n">
        <f aca="false">ROUND(M9*1.1,0)</f>
        <v>81</v>
      </c>
      <c r="O9" s="29"/>
      <c r="P9" s="55" t="n">
        <f aca="false">SUM(C9:N9)</f>
        <v>604</v>
      </c>
    </row>
    <row r="10" customFormat="false" ht="18" hidden="false" customHeight="true" outlineLevel="0" collapsed="false">
      <c r="B10" s="35" t="s">
        <v>105</v>
      </c>
      <c r="C10" s="54" t="n">
        <v>12</v>
      </c>
      <c r="D10" s="54" t="n">
        <f aca="false">ROUND(C10*1.08,0)</f>
        <v>13</v>
      </c>
      <c r="E10" s="54" t="n">
        <f aca="false">ROUND(D10*1.08,0)</f>
        <v>14</v>
      </c>
      <c r="F10" s="54" t="n">
        <f aca="false">ROUND(E10*1.08,0)</f>
        <v>15</v>
      </c>
      <c r="G10" s="54" t="n">
        <f aca="false">ROUND(F10*1.08,0)</f>
        <v>16</v>
      </c>
      <c r="H10" s="54" t="n">
        <f aca="false">ROUND(G10*1.08,0)</f>
        <v>17</v>
      </c>
      <c r="I10" s="54" t="n">
        <f aca="false">ROUND(H10*1.08,0)</f>
        <v>18</v>
      </c>
      <c r="J10" s="54" t="n">
        <f aca="false">ROUND(I10*1.08,0)</f>
        <v>19</v>
      </c>
      <c r="K10" s="54" t="n">
        <f aca="false">ROUND(J10*1.08,0)</f>
        <v>21</v>
      </c>
      <c r="L10" s="54" t="n">
        <f aca="false">ROUND(K10*1.08,0)</f>
        <v>23</v>
      </c>
      <c r="M10" s="54" t="n">
        <f aca="false">ROUND(L10*1.08,0)</f>
        <v>25</v>
      </c>
      <c r="N10" s="54" t="n">
        <f aca="false">ROUND(M10*1.08,0)</f>
        <v>27</v>
      </c>
      <c r="O10" s="29"/>
      <c r="P10" s="54" t="n">
        <f aca="false">SUM(C10:N10)</f>
        <v>220</v>
      </c>
    </row>
    <row r="11" customFormat="false" ht="18" hidden="false" customHeight="true" outlineLevel="0" collapsed="false">
      <c r="B11" s="36" t="s">
        <v>106</v>
      </c>
      <c r="C11" s="56" t="n">
        <f aca="false">SUM(C8:C10)</f>
        <v>82</v>
      </c>
      <c r="D11" s="56" t="n">
        <f aca="false">SUM(D8:D10)</f>
        <v>91</v>
      </c>
      <c r="E11" s="56" t="n">
        <f aca="false">SUM(E8:E10)</f>
        <v>101</v>
      </c>
      <c r="F11" s="56" t="n">
        <f aca="false">SUM(F8:F10)</f>
        <v>111</v>
      </c>
      <c r="G11" s="56" t="n">
        <f aca="false">SUM(G8:G10)</f>
        <v>123</v>
      </c>
      <c r="H11" s="56" t="n">
        <f aca="false">SUM(H8:H10)</f>
        <v>136</v>
      </c>
      <c r="I11" s="56" t="n">
        <f aca="false">SUM(I8:I10)</f>
        <v>151</v>
      </c>
      <c r="J11" s="56" t="n">
        <f aca="false">SUM(J8:J10)</f>
        <v>167</v>
      </c>
      <c r="K11" s="56" t="n">
        <f aca="false">SUM(K8:K10)</f>
        <v>186</v>
      </c>
      <c r="L11" s="56" t="n">
        <f aca="false">SUM(L8:L10)</f>
        <v>206</v>
      </c>
      <c r="M11" s="56" t="n">
        <f aca="false">SUM(M8:M10)</f>
        <v>229</v>
      </c>
      <c r="N11" s="56" t="n">
        <f aca="false">SUM(N8:N10)</f>
        <v>254</v>
      </c>
      <c r="O11" s="29"/>
      <c r="P11" s="56" t="n">
        <f aca="false">SUM(C11:N11)</f>
        <v>1837</v>
      </c>
    </row>
    <row r="12" customFormat="false" ht="18" hidden="false" customHeight="true" outlineLevel="0" collapsed="false">
      <c r="B12" s="32" t="s">
        <v>107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9"/>
      <c r="P12" s="33"/>
    </row>
    <row r="13" customFormat="false" ht="18" hidden="false" customHeight="true" outlineLevel="0" collapsed="false">
      <c r="B13" s="34" t="s">
        <v>108</v>
      </c>
      <c r="C13" s="18" t="n">
        <f aca="false">C8*20</f>
        <v>840</v>
      </c>
      <c r="D13" s="18" t="n">
        <f aca="false">D8*20</f>
        <v>940</v>
      </c>
      <c r="E13" s="18" t="n">
        <f aca="false">E8*20</f>
        <v>1060</v>
      </c>
      <c r="F13" s="18" t="n">
        <f aca="false">F8*20</f>
        <v>1180</v>
      </c>
      <c r="G13" s="18" t="n">
        <f aca="false">G8*20</f>
        <v>1320</v>
      </c>
      <c r="H13" s="18" t="n">
        <f aca="false">H8*20</f>
        <v>1480</v>
      </c>
      <c r="I13" s="18" t="n">
        <f aca="false">I8*20</f>
        <v>1660</v>
      </c>
      <c r="J13" s="18" t="n">
        <f aca="false">J8*20</f>
        <v>1860</v>
      </c>
      <c r="K13" s="18" t="n">
        <f aca="false">K8*20</f>
        <v>2080</v>
      </c>
      <c r="L13" s="18" t="n">
        <f aca="false">L8*20</f>
        <v>2320</v>
      </c>
      <c r="M13" s="18" t="n">
        <f aca="false">M8*20</f>
        <v>2600</v>
      </c>
      <c r="N13" s="18" t="n">
        <f aca="false">N8*20</f>
        <v>2920</v>
      </c>
      <c r="O13" s="29"/>
      <c r="P13" s="18" t="n">
        <f aca="false">SUM(C13:N13)</f>
        <v>20260</v>
      </c>
    </row>
    <row r="14" customFormat="false" ht="18" hidden="false" customHeight="true" outlineLevel="0" collapsed="false">
      <c r="B14" s="35" t="s">
        <v>109</v>
      </c>
      <c r="C14" s="12" t="n">
        <f aca="false">C9*20</f>
        <v>560</v>
      </c>
      <c r="D14" s="12" t="n">
        <f aca="false">D9*20</f>
        <v>620</v>
      </c>
      <c r="E14" s="12" t="n">
        <f aca="false">E9*20</f>
        <v>680</v>
      </c>
      <c r="F14" s="12" t="n">
        <f aca="false">F9*20</f>
        <v>740</v>
      </c>
      <c r="G14" s="12" t="n">
        <f aca="false">G9*20</f>
        <v>820</v>
      </c>
      <c r="H14" s="12" t="n">
        <f aca="false">H9*20</f>
        <v>900</v>
      </c>
      <c r="I14" s="12" t="n">
        <f aca="false">I9*20</f>
        <v>1000</v>
      </c>
      <c r="J14" s="12" t="n">
        <f aca="false">J9*20</f>
        <v>1100</v>
      </c>
      <c r="K14" s="12" t="n">
        <f aca="false">K9*20</f>
        <v>1220</v>
      </c>
      <c r="L14" s="12" t="n">
        <f aca="false">L9*20</f>
        <v>1340</v>
      </c>
      <c r="M14" s="12" t="n">
        <f aca="false">M9*20</f>
        <v>1480</v>
      </c>
      <c r="N14" s="12" t="n">
        <f aca="false">N9*20</f>
        <v>1620</v>
      </c>
      <c r="O14" s="29"/>
      <c r="P14" s="12" t="n">
        <f aca="false">SUM(C14:N14)</f>
        <v>12080</v>
      </c>
    </row>
    <row r="15" customFormat="false" ht="18" hidden="false" customHeight="true" outlineLevel="0" collapsed="false">
      <c r="B15" s="34" t="s">
        <v>110</v>
      </c>
      <c r="C15" s="18" t="n">
        <f aca="false">C10*20</f>
        <v>240</v>
      </c>
      <c r="D15" s="18" t="n">
        <f aca="false">D10*20</f>
        <v>260</v>
      </c>
      <c r="E15" s="18" t="n">
        <f aca="false">E10*20</f>
        <v>280</v>
      </c>
      <c r="F15" s="18" t="n">
        <f aca="false">F10*20</f>
        <v>300</v>
      </c>
      <c r="G15" s="18" t="n">
        <f aca="false">G10*20</f>
        <v>320</v>
      </c>
      <c r="H15" s="18" t="n">
        <f aca="false">H10*20</f>
        <v>340</v>
      </c>
      <c r="I15" s="18" t="n">
        <f aca="false">I10*20</f>
        <v>360</v>
      </c>
      <c r="J15" s="18" t="n">
        <f aca="false">J10*20</f>
        <v>380</v>
      </c>
      <c r="K15" s="18" t="n">
        <f aca="false">K10*20</f>
        <v>420</v>
      </c>
      <c r="L15" s="18" t="n">
        <f aca="false">L10*20</f>
        <v>460</v>
      </c>
      <c r="M15" s="18" t="n">
        <f aca="false">M10*20</f>
        <v>500</v>
      </c>
      <c r="N15" s="18" t="n">
        <f aca="false">N10*20</f>
        <v>540</v>
      </c>
      <c r="O15" s="29"/>
      <c r="P15" s="18" t="n">
        <f aca="false">SUM(C15:N15)</f>
        <v>4400</v>
      </c>
    </row>
    <row r="16" customFormat="false" ht="18" hidden="false" customHeight="true" outlineLevel="0" collapsed="false">
      <c r="B16" s="36" t="s">
        <v>111</v>
      </c>
      <c r="C16" s="37" t="n">
        <f aca="false">SUM(C13:C15)</f>
        <v>1640</v>
      </c>
      <c r="D16" s="37" t="n">
        <f aca="false">SUM(D13:D15)</f>
        <v>1820</v>
      </c>
      <c r="E16" s="37" t="n">
        <f aca="false">SUM(E13:E15)</f>
        <v>2020</v>
      </c>
      <c r="F16" s="37" t="n">
        <f aca="false">SUM(F13:F15)</f>
        <v>2220</v>
      </c>
      <c r="G16" s="37" t="n">
        <f aca="false">SUM(G13:G15)</f>
        <v>2460</v>
      </c>
      <c r="H16" s="37" t="n">
        <f aca="false">SUM(H13:H15)</f>
        <v>2720</v>
      </c>
      <c r="I16" s="37" t="n">
        <f aca="false">SUM(I13:I15)</f>
        <v>3020</v>
      </c>
      <c r="J16" s="37" t="n">
        <f aca="false">SUM(J13:J15)</f>
        <v>3340</v>
      </c>
      <c r="K16" s="37" t="n">
        <f aca="false">SUM(K13:K15)</f>
        <v>3720</v>
      </c>
      <c r="L16" s="37" t="n">
        <f aca="false">SUM(L13:L15)</f>
        <v>4120</v>
      </c>
      <c r="M16" s="37" t="n">
        <f aca="false">SUM(M13:M15)</f>
        <v>4580</v>
      </c>
      <c r="N16" s="37" t="n">
        <f aca="false">SUM(N13:N15)</f>
        <v>5080</v>
      </c>
      <c r="O16" s="29"/>
      <c r="P16" s="37" t="n">
        <f aca="false">SUM(C16:N16)</f>
        <v>36740</v>
      </c>
    </row>
    <row r="17" customFormat="false" ht="18" hidden="false" customHeight="true" outlineLevel="0" collapsed="false">
      <c r="B17" s="32" t="s">
        <v>112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29"/>
      <c r="P17" s="33"/>
    </row>
    <row r="18" customFormat="false" ht="18" hidden="false" customHeight="true" outlineLevel="0" collapsed="false">
      <c r="B18" s="35" t="s">
        <v>113</v>
      </c>
      <c r="C18" s="57" t="n">
        <v>0</v>
      </c>
      <c r="D18" s="57" t="n">
        <v>0</v>
      </c>
      <c r="E18" s="57" t="n">
        <v>0</v>
      </c>
      <c r="F18" s="57" t="n">
        <v>0</v>
      </c>
      <c r="G18" s="57" t="n">
        <v>0</v>
      </c>
      <c r="H18" s="57" t="n">
        <v>0</v>
      </c>
      <c r="I18" s="57" t="n">
        <v>0</v>
      </c>
      <c r="J18" s="57" t="n">
        <v>0</v>
      </c>
      <c r="K18" s="57" t="n">
        <v>0</v>
      </c>
      <c r="L18" s="57" t="n">
        <v>0</v>
      </c>
      <c r="M18" s="57" t="n">
        <v>0</v>
      </c>
      <c r="N18" s="57" t="n">
        <v>0</v>
      </c>
      <c r="O18" s="29"/>
      <c r="P18" s="57" t="n">
        <f aca="false">SUM(C18:N18)</f>
        <v>0</v>
      </c>
    </row>
    <row r="19" customFormat="false" ht="18" hidden="false" customHeight="true" outlineLevel="0" collapsed="false">
      <c r="B19" s="34" t="s">
        <v>114</v>
      </c>
      <c r="C19" s="18" t="n">
        <f aca="false">ROUND(C14*-0.035,0)</f>
        <v>-20</v>
      </c>
      <c r="D19" s="18" t="n">
        <f aca="false">ROUND(D14*-0.035,0)</f>
        <v>-22</v>
      </c>
      <c r="E19" s="18" t="n">
        <f aca="false">ROUND(E14*-0.035,0)</f>
        <v>-24</v>
      </c>
      <c r="F19" s="18" t="n">
        <f aca="false">ROUND(F14*-0.035,0)</f>
        <v>-26</v>
      </c>
      <c r="G19" s="18" t="n">
        <f aca="false">ROUND(G14*-0.035,0)</f>
        <v>-29</v>
      </c>
      <c r="H19" s="18" t="n">
        <f aca="false">ROUND(H14*-0.035,0)</f>
        <v>-32</v>
      </c>
      <c r="I19" s="18" t="n">
        <f aca="false">ROUND(I14*-0.035,0)</f>
        <v>-35</v>
      </c>
      <c r="J19" s="18" t="n">
        <f aca="false">ROUND(J14*-0.035,0)</f>
        <v>-39</v>
      </c>
      <c r="K19" s="18" t="n">
        <f aca="false">ROUND(K14*-0.035,0)</f>
        <v>-43</v>
      </c>
      <c r="L19" s="18" t="n">
        <f aca="false">ROUND(L14*-0.035,0)</f>
        <v>-47</v>
      </c>
      <c r="M19" s="18" t="n">
        <f aca="false">ROUND(M14*-0.035,0)</f>
        <v>-52</v>
      </c>
      <c r="N19" s="18" t="n">
        <f aca="false">ROUND(N14*-0.035,0)</f>
        <v>-57</v>
      </c>
      <c r="O19" s="29"/>
      <c r="P19" s="18" t="n">
        <f aca="false">SUM(C19:N19)</f>
        <v>-426</v>
      </c>
    </row>
    <row r="20" customFormat="false" ht="18" hidden="false" customHeight="true" outlineLevel="0" collapsed="false">
      <c r="B20" s="35" t="s">
        <v>115</v>
      </c>
      <c r="C20" s="12" t="n">
        <f aca="false">ROUND(C15*-0.015,0)</f>
        <v>-4</v>
      </c>
      <c r="D20" s="12" t="n">
        <f aca="false">ROUND(D15*-0.015,0)</f>
        <v>-4</v>
      </c>
      <c r="E20" s="12" t="n">
        <f aca="false">ROUND(E15*-0.015,0)</f>
        <v>-4</v>
      </c>
      <c r="F20" s="12" t="n">
        <f aca="false">ROUND(F15*-0.015,0)</f>
        <v>-5</v>
      </c>
      <c r="G20" s="12" t="n">
        <f aca="false">ROUND(G15*-0.015,0)</f>
        <v>-5</v>
      </c>
      <c r="H20" s="12" t="n">
        <f aca="false">ROUND(H15*-0.015,0)</f>
        <v>-5</v>
      </c>
      <c r="I20" s="12" t="n">
        <f aca="false">ROUND(I15*-0.015,0)</f>
        <v>-5</v>
      </c>
      <c r="J20" s="12" t="n">
        <f aca="false">ROUND(J15*-0.015,0)</f>
        <v>-6</v>
      </c>
      <c r="K20" s="12" t="n">
        <f aca="false">ROUND(K15*-0.015,0)</f>
        <v>-6</v>
      </c>
      <c r="L20" s="12" t="n">
        <f aca="false">ROUND(L15*-0.015,0)</f>
        <v>-7</v>
      </c>
      <c r="M20" s="12" t="n">
        <f aca="false">ROUND(M15*-0.015,0)</f>
        <v>-8</v>
      </c>
      <c r="N20" s="12" t="n">
        <f aca="false">ROUND(N15*-0.015,0)</f>
        <v>-8</v>
      </c>
      <c r="O20" s="29"/>
      <c r="P20" s="12" t="n">
        <f aca="false">SUM(C20:N20)</f>
        <v>-67</v>
      </c>
    </row>
    <row r="21" customFormat="false" ht="18" hidden="false" customHeight="true" outlineLevel="0" collapsed="false">
      <c r="B21" s="39" t="s">
        <v>116</v>
      </c>
      <c r="C21" s="40" t="n">
        <f aca="false">SUM(C18:C20)</f>
        <v>-24</v>
      </c>
      <c r="D21" s="40" t="n">
        <f aca="false">SUM(D18:D20)</f>
        <v>-26</v>
      </c>
      <c r="E21" s="40" t="n">
        <f aca="false">SUM(E18:E20)</f>
        <v>-28</v>
      </c>
      <c r="F21" s="40" t="n">
        <f aca="false">SUM(F18:F20)</f>
        <v>-31</v>
      </c>
      <c r="G21" s="40" t="n">
        <f aca="false">SUM(G18:G20)</f>
        <v>-34</v>
      </c>
      <c r="H21" s="40" t="n">
        <f aca="false">SUM(H18:H20)</f>
        <v>-37</v>
      </c>
      <c r="I21" s="40" t="n">
        <f aca="false">SUM(I18:I20)</f>
        <v>-40</v>
      </c>
      <c r="J21" s="40" t="n">
        <f aca="false">SUM(J18:J20)</f>
        <v>-45</v>
      </c>
      <c r="K21" s="40" t="n">
        <f aca="false">SUM(K18:K20)</f>
        <v>-49</v>
      </c>
      <c r="L21" s="40" t="n">
        <f aca="false">SUM(L18:L20)</f>
        <v>-54</v>
      </c>
      <c r="M21" s="40" t="n">
        <f aca="false">SUM(M18:M20)</f>
        <v>-60</v>
      </c>
      <c r="N21" s="40" t="n">
        <f aca="false">SUM(N18:N20)</f>
        <v>-65</v>
      </c>
      <c r="O21" s="29"/>
      <c r="P21" s="40" t="n">
        <f aca="false">SUM(C21:N21)</f>
        <v>-493</v>
      </c>
    </row>
    <row r="22" customFormat="false" ht="18" hidden="false" customHeight="true" outlineLevel="0" collapsed="false">
      <c r="B22" s="58" t="s">
        <v>117</v>
      </c>
      <c r="C22" s="59" t="n">
        <f aca="false">C16+C21</f>
        <v>1616</v>
      </c>
      <c r="D22" s="59" t="n">
        <f aca="false">D16+D21</f>
        <v>1794</v>
      </c>
      <c r="E22" s="59" t="n">
        <f aca="false">E16+E21</f>
        <v>1992</v>
      </c>
      <c r="F22" s="59" t="n">
        <f aca="false">F16+F21</f>
        <v>2189</v>
      </c>
      <c r="G22" s="59" t="n">
        <f aca="false">G16+G21</f>
        <v>2426</v>
      </c>
      <c r="H22" s="59" t="n">
        <f aca="false">H16+H21</f>
        <v>2683</v>
      </c>
      <c r="I22" s="59" t="n">
        <f aca="false">I16+I21</f>
        <v>2980</v>
      </c>
      <c r="J22" s="59" t="n">
        <f aca="false">J16+J21</f>
        <v>3295</v>
      </c>
      <c r="K22" s="59" t="n">
        <f aca="false">K16+K21</f>
        <v>3671</v>
      </c>
      <c r="L22" s="59" t="n">
        <f aca="false">L16+L21</f>
        <v>4066</v>
      </c>
      <c r="M22" s="59" t="n">
        <f aca="false">M16+M21</f>
        <v>4520</v>
      </c>
      <c r="N22" s="59" t="n">
        <f aca="false">N16+N21</f>
        <v>5015</v>
      </c>
      <c r="O22" s="29"/>
      <c r="P22" s="59" t="n">
        <f aca="false">SUM(C22:N22)</f>
        <v>36247</v>
      </c>
    </row>
    <row r="24" customFormat="false" ht="13.5" hidden="false" customHeight="true" outlineLevel="0" collapsed="false">
      <c r="B24" s="26" t="s">
        <v>118</v>
      </c>
    </row>
    <row r="25" customFormat="false" ht="18" hidden="false" customHeight="true" outlineLevel="0" collapsed="false">
      <c r="B25" s="45" t="s">
        <v>119</v>
      </c>
      <c r="C25" s="46" t="n">
        <f aca="false">C6</f>
        <v>1640</v>
      </c>
      <c r="D25" s="46" t="n">
        <f aca="false">D6</f>
        <v>1820</v>
      </c>
      <c r="E25" s="46" t="n">
        <f aca="false">E6</f>
        <v>2020</v>
      </c>
      <c r="F25" s="46" t="n">
        <f aca="false">F6</f>
        <v>2220</v>
      </c>
      <c r="G25" s="46" t="n">
        <f aca="false">G6</f>
        <v>2460</v>
      </c>
      <c r="H25" s="46" t="n">
        <f aca="false">H6</f>
        <v>2720</v>
      </c>
      <c r="I25" s="46" t="n">
        <f aca="false">I6</f>
        <v>3020</v>
      </c>
      <c r="J25" s="46" t="n">
        <f aca="false">J6</f>
        <v>3340</v>
      </c>
      <c r="K25" s="46" t="n">
        <f aca="false">K6</f>
        <v>3720</v>
      </c>
      <c r="L25" s="46" t="n">
        <f aca="false">L6</f>
        <v>4120</v>
      </c>
      <c r="M25" s="46" t="n">
        <f aca="false">M6</f>
        <v>4580</v>
      </c>
      <c r="N25" s="46" t="n">
        <f aca="false">N6</f>
        <v>5080</v>
      </c>
      <c r="P25" s="46" t="n">
        <f aca="false">SUM(C25:N25)</f>
        <v>36740</v>
      </c>
    </row>
    <row r="26" customFormat="false" ht="18" hidden="false" customHeight="true" outlineLevel="0" collapsed="false">
      <c r="B26" s="41" t="s">
        <v>120</v>
      </c>
      <c r="C26" s="60" t="n">
        <f aca="false">C11</f>
        <v>82</v>
      </c>
      <c r="D26" s="60" t="n">
        <f aca="false">D11</f>
        <v>91</v>
      </c>
      <c r="E26" s="60" t="n">
        <f aca="false">E11</f>
        <v>101</v>
      </c>
      <c r="F26" s="60" t="n">
        <f aca="false">F11</f>
        <v>111</v>
      </c>
      <c r="G26" s="60" t="n">
        <f aca="false">G11</f>
        <v>123</v>
      </c>
      <c r="H26" s="60" t="n">
        <f aca="false">H11</f>
        <v>136</v>
      </c>
      <c r="I26" s="60" t="n">
        <f aca="false">I11</f>
        <v>151</v>
      </c>
      <c r="J26" s="60" t="n">
        <f aca="false">J11</f>
        <v>167</v>
      </c>
      <c r="K26" s="60" t="n">
        <f aca="false">K11</f>
        <v>186</v>
      </c>
      <c r="L26" s="60" t="n">
        <f aca="false">L11</f>
        <v>206</v>
      </c>
      <c r="M26" s="60" t="n">
        <f aca="false">M11</f>
        <v>229</v>
      </c>
      <c r="N26" s="60" t="n">
        <f aca="false">N11</f>
        <v>254</v>
      </c>
      <c r="P26" s="60" t="n">
        <f aca="false">SUM(C26:N26)</f>
        <v>1837</v>
      </c>
    </row>
  </sheetData>
  <mergeCells count="3">
    <mergeCell ref="B2:P2"/>
    <mergeCell ref="B3:P3"/>
    <mergeCell ref="B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47FF"/>
    <pageSetUpPr fitToPage="false"/>
  </sheetPr>
  <dimension ref="B2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.51"/>
  </cols>
  <sheetData>
    <row r="2" customFormat="false" ht="27.75" hidden="false" customHeight="true" outlineLevel="0" collapsed="false">
      <c r="B2" s="1" t="s">
        <v>121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122</v>
      </c>
      <c r="C3" s="2"/>
      <c r="D3" s="2"/>
      <c r="E3" s="2"/>
      <c r="F3" s="2"/>
      <c r="G3" s="2"/>
      <c r="H3" s="2"/>
    </row>
    <row r="5" customFormat="false" ht="27.75" hidden="false" customHeight="true" outlineLevel="0" collapsed="false">
      <c r="B5" s="61" t="s">
        <v>123</v>
      </c>
      <c r="C5" s="61"/>
      <c r="D5" s="61"/>
      <c r="E5" s="61"/>
      <c r="F5" s="61"/>
      <c r="G5" s="61"/>
      <c r="H5" s="61"/>
    </row>
    <row r="6" customFormat="false" ht="19.5" hidden="false" customHeight="true" outlineLevel="0" collapsed="false">
      <c r="B6" s="62" t="s">
        <v>124</v>
      </c>
      <c r="C6" s="63" t="s">
        <v>125</v>
      </c>
      <c r="D6" s="63"/>
      <c r="E6" s="63"/>
      <c r="F6" s="63"/>
      <c r="G6" s="63"/>
      <c r="H6" s="63"/>
    </row>
    <row r="7" customFormat="false" ht="19.5" hidden="false" customHeight="true" outlineLevel="0" collapsed="false">
      <c r="B7" s="62" t="s">
        <v>126</v>
      </c>
      <c r="C7" s="64" t="s">
        <v>127</v>
      </c>
      <c r="D7" s="64"/>
      <c r="E7" s="64"/>
      <c r="F7" s="64"/>
      <c r="G7" s="64"/>
      <c r="H7" s="64"/>
    </row>
    <row r="8" customFormat="false" ht="19.5" hidden="false" customHeight="true" outlineLevel="0" collapsed="false">
      <c r="B8" s="62" t="s">
        <v>128</v>
      </c>
      <c r="C8" s="63" t="s">
        <v>129</v>
      </c>
      <c r="D8" s="63"/>
      <c r="E8" s="63"/>
      <c r="F8" s="63"/>
      <c r="G8" s="63"/>
      <c r="H8" s="63"/>
    </row>
    <row r="9" customFormat="false" ht="19.5" hidden="false" customHeight="true" outlineLevel="0" collapsed="false">
      <c r="B9" s="62" t="s">
        <v>130</v>
      </c>
      <c r="C9" s="63" t="s">
        <v>131</v>
      </c>
      <c r="D9" s="63"/>
      <c r="E9" s="63"/>
      <c r="F9" s="63"/>
      <c r="G9" s="63"/>
      <c r="H9" s="63"/>
    </row>
    <row r="10" customFormat="false" ht="19.5" hidden="false" customHeight="true" outlineLevel="0" collapsed="false">
      <c r="B10" s="62" t="s">
        <v>132</v>
      </c>
      <c r="C10" s="63" t="s">
        <v>133</v>
      </c>
      <c r="D10" s="63"/>
      <c r="E10" s="63"/>
      <c r="F10" s="63"/>
      <c r="G10" s="63"/>
      <c r="H10" s="63"/>
    </row>
    <row r="11" customFormat="false" ht="19.5" hidden="false" customHeight="true" outlineLevel="0" collapsed="false">
      <c r="B11" s="62" t="s">
        <v>134</v>
      </c>
      <c r="C11" s="64" t="s">
        <v>135</v>
      </c>
      <c r="D11" s="64"/>
      <c r="E11" s="64"/>
      <c r="F11" s="64"/>
      <c r="G11" s="64"/>
      <c r="H11" s="64"/>
    </row>
    <row r="12" customFormat="false" ht="7.5" hidden="false" customHeight="true" outlineLevel="0" collapsed="false"/>
    <row r="13" customFormat="false" ht="19.5" hidden="false" customHeight="true" outlineLevel="0" collapsed="false">
      <c r="B13" s="65" t="s">
        <v>136</v>
      </c>
      <c r="C13" s="65"/>
      <c r="D13" s="65"/>
      <c r="E13" s="65"/>
      <c r="F13" s="65"/>
      <c r="G13" s="65"/>
      <c r="H13" s="65"/>
    </row>
    <row r="14" customFormat="false" ht="18" hidden="false" customHeight="true" outlineLevel="0" collapsed="false">
      <c r="B14" s="10" t="s">
        <v>137</v>
      </c>
      <c r="C14" s="10" t="s">
        <v>138</v>
      </c>
      <c r="D14" s="10" t="s">
        <v>139</v>
      </c>
      <c r="E14" s="10" t="s">
        <v>140</v>
      </c>
      <c r="F14" s="10" t="s">
        <v>141</v>
      </c>
      <c r="G14" s="10" t="s">
        <v>142</v>
      </c>
      <c r="H14" s="10" t="s">
        <v>143</v>
      </c>
    </row>
    <row r="15" customFormat="false" ht="18" hidden="false" customHeight="true" outlineLevel="0" collapsed="false">
      <c r="B15" s="66" t="s">
        <v>16</v>
      </c>
      <c r="C15" s="67" t="n">
        <v>850</v>
      </c>
      <c r="D15" s="68" t="n">
        <v>200</v>
      </c>
      <c r="E15" s="69" t="n">
        <v>1050</v>
      </c>
      <c r="F15" s="70" t="n">
        <v>1200</v>
      </c>
      <c r="G15" s="70" t="n">
        <v>4200</v>
      </c>
      <c r="H15" s="71" t="s">
        <v>144</v>
      </c>
    </row>
    <row r="16" customFormat="false" ht="18" hidden="false" customHeight="true" outlineLevel="0" collapsed="false">
      <c r="B16" s="72" t="s">
        <v>17</v>
      </c>
      <c r="C16" s="18" t="n">
        <v>850</v>
      </c>
      <c r="D16" s="21" t="n">
        <v>210</v>
      </c>
      <c r="E16" s="46" t="n">
        <v>1060</v>
      </c>
      <c r="F16" s="55" t="n">
        <v>1272</v>
      </c>
      <c r="G16" s="55" t="n">
        <v>4452</v>
      </c>
      <c r="H16" s="73" t="s">
        <v>145</v>
      </c>
    </row>
    <row r="17" customFormat="false" ht="18" hidden="false" customHeight="true" outlineLevel="0" collapsed="false">
      <c r="B17" s="66" t="s">
        <v>18</v>
      </c>
      <c r="C17" s="67" t="n">
        <v>850</v>
      </c>
      <c r="D17" s="68" t="n">
        <v>220</v>
      </c>
      <c r="E17" s="69" t="n">
        <v>1070</v>
      </c>
      <c r="F17" s="70" t="n">
        <v>1348</v>
      </c>
      <c r="G17" s="70" t="n">
        <v>4719</v>
      </c>
      <c r="H17" s="71" t="s">
        <v>146</v>
      </c>
    </row>
    <row r="18" customFormat="false" ht="18" hidden="false" customHeight="true" outlineLevel="0" collapsed="false">
      <c r="B18" s="72" t="s">
        <v>19</v>
      </c>
      <c r="C18" s="18" t="n">
        <v>850</v>
      </c>
      <c r="D18" s="21" t="n">
        <v>231</v>
      </c>
      <c r="E18" s="46" t="n">
        <v>1081</v>
      </c>
      <c r="F18" s="55" t="n">
        <v>1429</v>
      </c>
      <c r="G18" s="55" t="n">
        <v>5002</v>
      </c>
      <c r="H18" s="73" t="s">
        <v>147</v>
      </c>
    </row>
    <row r="19" customFormat="false" ht="18" hidden="false" customHeight="true" outlineLevel="0" collapsed="false">
      <c r="B19" s="66" t="s">
        <v>20</v>
      </c>
      <c r="C19" s="67" t="n">
        <v>850</v>
      </c>
      <c r="D19" s="68" t="n">
        <v>243</v>
      </c>
      <c r="E19" s="69" t="n">
        <v>1093</v>
      </c>
      <c r="F19" s="70" t="n">
        <v>1514</v>
      </c>
      <c r="G19" s="70" t="n">
        <v>5302</v>
      </c>
      <c r="H19" s="71" t="s">
        <v>148</v>
      </c>
    </row>
    <row r="20" customFormat="false" ht="18" hidden="false" customHeight="true" outlineLevel="0" collapsed="false">
      <c r="B20" s="72" t="s">
        <v>21</v>
      </c>
      <c r="C20" s="18" t="n">
        <v>850</v>
      </c>
      <c r="D20" s="21" t="n">
        <v>255</v>
      </c>
      <c r="E20" s="46" t="n">
        <v>1105</v>
      </c>
      <c r="F20" s="55" t="n">
        <v>1605</v>
      </c>
      <c r="G20" s="55" t="n">
        <v>5620</v>
      </c>
      <c r="H20" s="73" t="s">
        <v>149</v>
      </c>
    </row>
    <row r="21" customFormat="false" ht="18" hidden="false" customHeight="true" outlineLevel="0" collapsed="false">
      <c r="B21" s="66" t="s">
        <v>22</v>
      </c>
      <c r="C21" s="67" t="n">
        <v>850</v>
      </c>
      <c r="D21" s="68" t="n">
        <v>268</v>
      </c>
      <c r="E21" s="69" t="n">
        <v>1118</v>
      </c>
      <c r="F21" s="70" t="n">
        <v>1702</v>
      </c>
      <c r="G21" s="70" t="n">
        <v>5957</v>
      </c>
      <c r="H21" s="71" t="s">
        <v>150</v>
      </c>
    </row>
    <row r="22" customFormat="false" ht="18" hidden="false" customHeight="true" outlineLevel="0" collapsed="false">
      <c r="B22" s="72" t="s">
        <v>23</v>
      </c>
      <c r="C22" s="18" t="n">
        <v>850</v>
      </c>
      <c r="D22" s="21" t="n">
        <v>281</v>
      </c>
      <c r="E22" s="46" t="n">
        <v>1131</v>
      </c>
      <c r="F22" s="55" t="n">
        <v>1804</v>
      </c>
      <c r="G22" s="55" t="n">
        <v>6315</v>
      </c>
      <c r="H22" s="73" t="s">
        <v>151</v>
      </c>
    </row>
    <row r="23" customFormat="false" ht="18" hidden="false" customHeight="true" outlineLevel="0" collapsed="false">
      <c r="B23" s="66" t="s">
        <v>24</v>
      </c>
      <c r="C23" s="67" t="n">
        <v>850</v>
      </c>
      <c r="D23" s="68" t="n">
        <v>295</v>
      </c>
      <c r="E23" s="69" t="n">
        <v>1145</v>
      </c>
      <c r="F23" s="70" t="n">
        <v>1912</v>
      </c>
      <c r="G23" s="70" t="n">
        <v>6694</v>
      </c>
      <c r="H23" s="71" t="s">
        <v>152</v>
      </c>
    </row>
    <row r="24" customFormat="false" ht="18" hidden="false" customHeight="true" outlineLevel="0" collapsed="false">
      <c r="B24" s="72" t="s">
        <v>25</v>
      </c>
      <c r="C24" s="18" t="n">
        <v>850</v>
      </c>
      <c r="D24" s="21" t="n">
        <v>310</v>
      </c>
      <c r="E24" s="46" t="n">
        <v>1160</v>
      </c>
      <c r="F24" s="55" t="n">
        <v>2027</v>
      </c>
      <c r="G24" s="55" t="n">
        <v>7095</v>
      </c>
      <c r="H24" s="73" t="s">
        <v>153</v>
      </c>
    </row>
    <row r="25" customFormat="false" ht="18" hidden="false" customHeight="true" outlineLevel="0" collapsed="false">
      <c r="B25" s="66" t="s">
        <v>26</v>
      </c>
      <c r="C25" s="67" t="n">
        <v>850</v>
      </c>
      <c r="D25" s="68" t="n">
        <v>325</v>
      </c>
      <c r="E25" s="69" t="n">
        <v>1175</v>
      </c>
      <c r="F25" s="70" t="n">
        <v>2149</v>
      </c>
      <c r="G25" s="70" t="n">
        <v>7521</v>
      </c>
      <c r="H25" s="71" t="s">
        <v>154</v>
      </c>
    </row>
    <row r="26" customFormat="false" ht="18" hidden="false" customHeight="true" outlineLevel="0" collapsed="false">
      <c r="B26" s="72" t="s">
        <v>27</v>
      </c>
      <c r="C26" s="18" t="n">
        <v>850</v>
      </c>
      <c r="D26" s="21" t="n">
        <v>342</v>
      </c>
      <c r="E26" s="46" t="n">
        <v>1192</v>
      </c>
      <c r="F26" s="55" t="n">
        <v>2277</v>
      </c>
      <c r="G26" s="55" t="n">
        <v>7972</v>
      </c>
      <c r="H26" s="73" t="s">
        <v>155</v>
      </c>
    </row>
    <row r="29" customFormat="false" ht="27.75" hidden="false" customHeight="true" outlineLevel="0" collapsed="false">
      <c r="B29" s="74" t="s">
        <v>156</v>
      </c>
      <c r="C29" s="74"/>
      <c r="D29" s="74"/>
      <c r="E29" s="74"/>
      <c r="F29" s="74"/>
      <c r="G29" s="74"/>
      <c r="H29" s="74"/>
    </row>
    <row r="30" customFormat="false" ht="19.5" hidden="false" customHeight="true" outlineLevel="0" collapsed="false">
      <c r="B30" s="75" t="s">
        <v>124</v>
      </c>
      <c r="C30" s="76" t="s">
        <v>157</v>
      </c>
      <c r="D30" s="76"/>
      <c r="E30" s="76"/>
      <c r="F30" s="76"/>
      <c r="G30" s="76"/>
      <c r="H30" s="76"/>
    </row>
    <row r="31" customFormat="false" ht="19.5" hidden="false" customHeight="true" outlineLevel="0" collapsed="false">
      <c r="B31" s="75" t="s">
        <v>126</v>
      </c>
      <c r="C31" s="77" t="s">
        <v>158</v>
      </c>
      <c r="D31" s="77"/>
      <c r="E31" s="77"/>
      <c r="F31" s="77"/>
      <c r="G31" s="77"/>
      <c r="H31" s="77"/>
    </row>
    <row r="32" customFormat="false" ht="19.5" hidden="false" customHeight="true" outlineLevel="0" collapsed="false">
      <c r="B32" s="75" t="s">
        <v>159</v>
      </c>
      <c r="C32" s="76" t="s">
        <v>160</v>
      </c>
      <c r="D32" s="76"/>
      <c r="E32" s="76"/>
      <c r="F32" s="76"/>
      <c r="G32" s="76"/>
      <c r="H32" s="76"/>
    </row>
    <row r="33" customFormat="false" ht="19.5" hidden="false" customHeight="true" outlineLevel="0" collapsed="false">
      <c r="B33" s="75" t="s">
        <v>130</v>
      </c>
      <c r="C33" s="76" t="s">
        <v>131</v>
      </c>
      <c r="D33" s="76"/>
      <c r="E33" s="76"/>
      <c r="F33" s="76"/>
      <c r="G33" s="76"/>
      <c r="H33" s="76"/>
    </row>
    <row r="34" customFormat="false" ht="19.5" hidden="false" customHeight="true" outlineLevel="0" collapsed="false">
      <c r="B34" s="75" t="s">
        <v>132</v>
      </c>
      <c r="C34" s="76" t="s">
        <v>161</v>
      </c>
      <c r="D34" s="76"/>
      <c r="E34" s="76"/>
      <c r="F34" s="76"/>
      <c r="G34" s="76"/>
      <c r="H34" s="76"/>
    </row>
    <row r="35" customFormat="false" ht="19.5" hidden="false" customHeight="true" outlineLevel="0" collapsed="false">
      <c r="B35" s="75" t="s">
        <v>134</v>
      </c>
      <c r="C35" s="77" t="s">
        <v>162</v>
      </c>
      <c r="D35" s="77"/>
      <c r="E35" s="77"/>
      <c r="F35" s="77"/>
      <c r="G35" s="77"/>
      <c r="H35" s="77"/>
    </row>
    <row r="36" customFormat="false" ht="7.5" hidden="false" customHeight="true" outlineLevel="0" collapsed="false"/>
    <row r="37" customFormat="false" ht="19.5" hidden="false" customHeight="true" outlineLevel="0" collapsed="false">
      <c r="B37" s="78" t="s">
        <v>163</v>
      </c>
      <c r="C37" s="78"/>
      <c r="D37" s="78"/>
      <c r="E37" s="78"/>
      <c r="F37" s="78"/>
      <c r="G37" s="78"/>
      <c r="H37" s="78"/>
    </row>
    <row r="38" customFormat="false" ht="18" hidden="false" customHeight="true" outlineLevel="0" collapsed="false">
      <c r="B38" s="10" t="s">
        <v>137</v>
      </c>
      <c r="C38" s="10" t="s">
        <v>138</v>
      </c>
      <c r="D38" s="10" t="s">
        <v>139</v>
      </c>
      <c r="E38" s="10" t="s">
        <v>140</v>
      </c>
      <c r="F38" s="10" t="s">
        <v>141</v>
      </c>
      <c r="G38" s="10" t="s">
        <v>142</v>
      </c>
      <c r="H38" s="10" t="s">
        <v>143</v>
      </c>
    </row>
    <row r="39" customFormat="false" ht="18" hidden="false" customHeight="true" outlineLevel="0" collapsed="false">
      <c r="B39" s="79" t="s">
        <v>16</v>
      </c>
      <c r="C39" s="80" t="n">
        <v>750</v>
      </c>
      <c r="D39" s="81" t="n">
        <v>300</v>
      </c>
      <c r="E39" s="82" t="n">
        <v>1050</v>
      </c>
      <c r="F39" s="83" t="n">
        <v>1200</v>
      </c>
      <c r="G39" s="83" t="n">
        <v>5040</v>
      </c>
      <c r="H39" s="84" t="s">
        <v>164</v>
      </c>
    </row>
    <row r="40" customFormat="false" ht="18" hidden="false" customHeight="true" outlineLevel="0" collapsed="false">
      <c r="B40" s="85" t="s">
        <v>17</v>
      </c>
      <c r="C40" s="18" t="n">
        <v>750</v>
      </c>
      <c r="D40" s="21" t="n">
        <v>321</v>
      </c>
      <c r="E40" s="46" t="n">
        <v>1071</v>
      </c>
      <c r="F40" s="55" t="n">
        <v>1272</v>
      </c>
      <c r="G40" s="55" t="n">
        <v>5342</v>
      </c>
      <c r="H40" s="73" t="s">
        <v>165</v>
      </c>
    </row>
    <row r="41" customFormat="false" ht="18" hidden="false" customHeight="true" outlineLevel="0" collapsed="false">
      <c r="B41" s="79" t="s">
        <v>18</v>
      </c>
      <c r="C41" s="80" t="n">
        <v>750</v>
      </c>
      <c r="D41" s="81" t="n">
        <v>343</v>
      </c>
      <c r="E41" s="82" t="n">
        <v>1093</v>
      </c>
      <c r="F41" s="83" t="n">
        <v>1348</v>
      </c>
      <c r="G41" s="83" t="n">
        <v>5662</v>
      </c>
      <c r="H41" s="84" t="s">
        <v>149</v>
      </c>
    </row>
    <row r="42" customFormat="false" ht="18" hidden="false" customHeight="true" outlineLevel="0" collapsed="false">
      <c r="B42" s="85" t="s">
        <v>19</v>
      </c>
      <c r="C42" s="18" t="n">
        <v>750</v>
      </c>
      <c r="D42" s="21" t="n">
        <v>367</v>
      </c>
      <c r="E42" s="46" t="n">
        <v>1117</v>
      </c>
      <c r="F42" s="55" t="n">
        <v>1429</v>
      </c>
      <c r="G42" s="55" t="n">
        <v>6002</v>
      </c>
      <c r="H42" s="73" t="s">
        <v>166</v>
      </c>
    </row>
    <row r="43" customFormat="false" ht="18" hidden="false" customHeight="true" outlineLevel="0" collapsed="false">
      <c r="B43" s="79" t="s">
        <v>20</v>
      </c>
      <c r="C43" s="80" t="n">
        <v>750</v>
      </c>
      <c r="D43" s="81" t="n">
        <v>393</v>
      </c>
      <c r="E43" s="82" t="n">
        <v>1143</v>
      </c>
      <c r="F43" s="83" t="n">
        <v>1514</v>
      </c>
      <c r="G43" s="83" t="n">
        <v>6362</v>
      </c>
      <c r="H43" s="84" t="s">
        <v>167</v>
      </c>
    </row>
    <row r="44" customFormat="false" ht="18" hidden="false" customHeight="true" outlineLevel="0" collapsed="false">
      <c r="B44" s="85" t="s">
        <v>21</v>
      </c>
      <c r="C44" s="18" t="n">
        <v>750</v>
      </c>
      <c r="D44" s="21" t="n">
        <v>420</v>
      </c>
      <c r="E44" s="46" t="n">
        <v>1170</v>
      </c>
      <c r="F44" s="55" t="n">
        <v>1605</v>
      </c>
      <c r="G44" s="55" t="n">
        <v>6744</v>
      </c>
      <c r="H44" s="73" t="s">
        <v>153</v>
      </c>
    </row>
    <row r="45" customFormat="false" ht="18" hidden="false" customHeight="true" outlineLevel="0" collapsed="false">
      <c r="B45" s="79" t="s">
        <v>22</v>
      </c>
      <c r="C45" s="80" t="n">
        <v>750</v>
      </c>
      <c r="D45" s="81" t="n">
        <v>450</v>
      </c>
      <c r="E45" s="82" t="n">
        <v>1200</v>
      </c>
      <c r="F45" s="83" t="n">
        <v>1702</v>
      </c>
      <c r="G45" s="83" t="n">
        <v>7149</v>
      </c>
      <c r="H45" s="84" t="s">
        <v>168</v>
      </c>
    </row>
    <row r="46" customFormat="false" ht="18" hidden="false" customHeight="true" outlineLevel="0" collapsed="false">
      <c r="B46" s="85" t="s">
        <v>23</v>
      </c>
      <c r="C46" s="18" t="n">
        <v>750</v>
      </c>
      <c r="D46" s="21" t="n">
        <v>481</v>
      </c>
      <c r="E46" s="46" t="n">
        <v>1231</v>
      </c>
      <c r="F46" s="55" t="n">
        <v>1804</v>
      </c>
      <c r="G46" s="55" t="n">
        <v>7578</v>
      </c>
      <c r="H46" s="73" t="s">
        <v>169</v>
      </c>
    </row>
    <row r="47" customFormat="false" ht="18" hidden="false" customHeight="true" outlineLevel="0" collapsed="false">
      <c r="B47" s="79" t="s">
        <v>24</v>
      </c>
      <c r="C47" s="80" t="n">
        <v>750</v>
      </c>
      <c r="D47" s="81" t="n">
        <v>515</v>
      </c>
      <c r="E47" s="82" t="n">
        <v>1265</v>
      </c>
      <c r="F47" s="83" t="n">
        <v>1912</v>
      </c>
      <c r="G47" s="83" t="n">
        <v>8032</v>
      </c>
      <c r="H47" s="84" t="s">
        <v>170</v>
      </c>
    </row>
    <row r="48" customFormat="false" ht="18" hidden="false" customHeight="true" outlineLevel="0" collapsed="false">
      <c r="B48" s="85" t="s">
        <v>25</v>
      </c>
      <c r="C48" s="18" t="n">
        <v>750</v>
      </c>
      <c r="D48" s="21" t="n">
        <v>551</v>
      </c>
      <c r="E48" s="46" t="n">
        <v>1301</v>
      </c>
      <c r="F48" s="55" t="n">
        <v>2027</v>
      </c>
      <c r="G48" s="55" t="n">
        <v>8514</v>
      </c>
      <c r="H48" s="73" t="s">
        <v>171</v>
      </c>
    </row>
    <row r="49" customFormat="false" ht="18" hidden="false" customHeight="true" outlineLevel="0" collapsed="false">
      <c r="B49" s="79" t="s">
        <v>26</v>
      </c>
      <c r="C49" s="80" t="n">
        <v>750</v>
      </c>
      <c r="D49" s="81" t="n">
        <v>590</v>
      </c>
      <c r="E49" s="82" t="n">
        <v>1340</v>
      </c>
      <c r="F49" s="83" t="n">
        <v>2149</v>
      </c>
      <c r="G49" s="83" t="n">
        <v>9025</v>
      </c>
      <c r="H49" s="84" t="s">
        <v>172</v>
      </c>
    </row>
    <row r="50" customFormat="false" ht="18" hidden="false" customHeight="true" outlineLevel="0" collapsed="false">
      <c r="B50" s="85" t="s">
        <v>27</v>
      </c>
      <c r="C50" s="18" t="n">
        <v>750</v>
      </c>
      <c r="D50" s="21" t="n">
        <v>631</v>
      </c>
      <c r="E50" s="46" t="n">
        <v>1381</v>
      </c>
      <c r="F50" s="55" t="n">
        <v>2277</v>
      </c>
      <c r="G50" s="55" t="n">
        <v>9567</v>
      </c>
      <c r="H50" s="73" t="s">
        <v>173</v>
      </c>
    </row>
  </sheetData>
  <mergeCells count="18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B13:H13"/>
    <mergeCell ref="B29:H29"/>
    <mergeCell ref="C30:H30"/>
    <mergeCell ref="C31:H31"/>
    <mergeCell ref="C32:H32"/>
    <mergeCell ref="C33:H33"/>
    <mergeCell ref="C34:H34"/>
    <mergeCell ref="C35:H35"/>
    <mergeCell ref="B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2026-05-04T00:33:07Z</dcterms:created>
  <dc:creator>openpyxl</dc:creator>
  <dc:description/>
  <dc:language>en-US</dc:language>
  <cp:lastModifiedBy/>
  <dcterms:modified xsi:type="dcterms:W3CDTF">2026-05-04T00:33:07Z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